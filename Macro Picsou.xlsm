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Perso\Informatique\ProjetsPerso\VBA\Gestion Budget\"/>
    </mc:Choice>
  </mc:AlternateContent>
  <bookViews>
    <workbookView xWindow="0" yWindow="0" windowWidth="15090" windowHeight="8085" tabRatio="785"/>
  </bookViews>
  <sheets>
    <sheet name="Aide" sheetId="4" r:id="rId1"/>
    <sheet name="Gestion Macro" sheetId="2" r:id="rId2"/>
    <sheet name="Gestion Budget" sheetId="1" r:id="rId3"/>
    <sheet name="Bilan" sheetId="5" r:id="rId4"/>
  </sheets>
  <functionGroups builtInGroupCount="18"/>
  <calcPr calcId="152511"/>
</workbook>
</file>

<file path=xl/calcChain.xml><?xml version="1.0" encoding="utf-8"?>
<calcChain xmlns="http://schemas.openxmlformats.org/spreadsheetml/2006/main">
  <c r="B8" i="5" l="1"/>
</calcChain>
</file>

<file path=xl/sharedStrings.xml><?xml version="1.0" encoding="utf-8"?>
<sst xmlns="http://schemas.openxmlformats.org/spreadsheetml/2006/main" count="240" uniqueCount="120">
  <si>
    <t>Feuille</t>
  </si>
  <si>
    <t>Description</t>
  </si>
  <si>
    <t>Gestion Macro</t>
  </si>
  <si>
    <t>Bilan des dépenses de l'année en cours</t>
  </si>
  <si>
    <t>Autres feuilles</t>
  </si>
  <si>
    <t>Feuilles contenant les dépenses par type</t>
  </si>
  <si>
    <t>Type</t>
  </si>
  <si>
    <t>Sous Types associés</t>
  </si>
  <si>
    <t>Sous-Type</t>
  </si>
  <si>
    <t>Type Père</t>
  </si>
  <si>
    <t>Liste des Types</t>
  </si>
  <si>
    <t>Liste des Sous-Types</t>
  </si>
  <si>
    <t>Couleur</t>
  </si>
  <si>
    <t>Gestion Budget</t>
  </si>
  <si>
    <r>
      <t xml:space="preserve">Ajout de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et </t>
    </r>
    <r>
      <rPr>
        <b/>
        <sz val="11"/>
        <color theme="1"/>
        <rFont val="Calibri"/>
        <family val="2"/>
        <scheme val="minor"/>
      </rPr>
      <t xml:space="preserve">sous-types </t>
    </r>
    <r>
      <rPr>
        <sz val="11"/>
        <color theme="1"/>
        <rFont val="Calibri"/>
        <family val="2"/>
        <scheme val="minor"/>
      </rPr>
      <t>de dépenses et revenus</t>
    </r>
  </si>
  <si>
    <t>Fonctionnement</t>
  </si>
  <si>
    <t>ATTENTION</t>
  </si>
  <si>
    <r>
      <t xml:space="preserve">Deux </t>
    </r>
    <r>
      <rPr>
        <b/>
        <sz val="11"/>
        <color theme="1"/>
        <rFont val="Calibri"/>
        <family val="2"/>
        <scheme val="minor"/>
      </rPr>
      <t xml:space="preserve">types sont égaux </t>
    </r>
    <r>
      <rPr>
        <sz val="11"/>
        <color theme="1"/>
        <rFont val="Calibri"/>
        <family val="2"/>
        <scheme val="minor"/>
      </rPr>
      <t xml:space="preserve">s'ils ont le même nom, deux </t>
    </r>
    <r>
      <rPr>
        <b/>
        <sz val="11"/>
        <color theme="1"/>
        <rFont val="Calibri"/>
        <family val="2"/>
        <scheme val="minor"/>
      </rPr>
      <t>sous types sont égaux</t>
    </r>
    <r>
      <rPr>
        <sz val="11"/>
        <color theme="1"/>
        <rFont val="Calibri"/>
        <family val="2"/>
        <scheme val="minor"/>
      </rPr>
      <t xml:space="preserve"> si leur nom est le même et si leur type père est identique</t>
    </r>
  </si>
  <si>
    <t>Conseil</t>
  </si>
  <si>
    <r>
      <t xml:space="preserve">Ajoutez vos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principaux en premier, et mentionnez leur couleur. Puis ajoutez les </t>
    </r>
    <r>
      <rPr>
        <b/>
        <sz val="11"/>
        <color theme="1"/>
        <rFont val="Calibri"/>
        <family val="2"/>
        <scheme val="minor"/>
      </rPr>
      <t>sous-types</t>
    </r>
    <r>
      <rPr>
        <sz val="11"/>
        <color theme="1"/>
        <rFont val="Calibri"/>
        <family val="2"/>
        <scheme val="minor"/>
      </rPr>
      <t xml:space="preserve"> en mentionnant un type père.</t>
    </r>
  </si>
  <si>
    <t>Liste des dépenses et revenus</t>
  </si>
  <si>
    <t>Libellé</t>
  </si>
  <si>
    <t>Montant</t>
  </si>
  <si>
    <t>Sous Type</t>
  </si>
  <si>
    <t>Date</t>
  </si>
  <si>
    <t>Eisti</t>
  </si>
  <si>
    <t>Frais mensuels</t>
  </si>
  <si>
    <t>Salle ICC</t>
  </si>
  <si>
    <t>Courses</t>
  </si>
  <si>
    <t>Légumes</t>
  </si>
  <si>
    <t>Alcool</t>
  </si>
  <si>
    <t>Viande</t>
  </si>
  <si>
    <t>27/10/2015</t>
  </si>
  <si>
    <t>Depense</t>
  </si>
  <si>
    <t>Micro-ondes</t>
  </si>
  <si>
    <t>Revenu</t>
  </si>
  <si>
    <t>Remboursement micro-ondes</t>
  </si>
  <si>
    <t xml:space="preserve">Frais d'inscription </t>
  </si>
  <si>
    <t>27/09/2015</t>
  </si>
  <si>
    <t>Frais d'inscription</t>
  </si>
  <si>
    <t>Grands parents</t>
  </si>
  <si>
    <t>Chèques</t>
  </si>
  <si>
    <t>Chèques/Liquide</t>
  </si>
  <si>
    <t>Liquide</t>
  </si>
  <si>
    <t>Sous mamie</t>
  </si>
  <si>
    <t>31/10/2015</t>
  </si>
  <si>
    <t>20,00</t>
  </si>
  <si>
    <t>Sous papi</t>
  </si>
  <si>
    <t>Voiture</t>
  </si>
  <si>
    <t>Essence</t>
  </si>
  <si>
    <t>Révision</t>
  </si>
  <si>
    <t>Essence/Révision/Réparations</t>
  </si>
  <si>
    <t>Réparations</t>
  </si>
  <si>
    <t>Moitié de plein</t>
  </si>
  <si>
    <t>Tiers de plein</t>
  </si>
  <si>
    <t>15/09/2015</t>
  </si>
  <si>
    <t>Frais mensuels/Salle ICC/BDE</t>
  </si>
  <si>
    <t>BDE</t>
  </si>
  <si>
    <t>D/R</t>
  </si>
  <si>
    <t>Bouteille Vodka</t>
  </si>
  <si>
    <t>Légumes/Alcool/Viande/Sucreries</t>
  </si>
  <si>
    <t>Sucreries</t>
  </si>
  <si>
    <t>Cracottes</t>
  </si>
  <si>
    <t>26/10/2015</t>
  </si>
  <si>
    <t>Deplacement</t>
  </si>
  <si>
    <t>Covoit Pau-Bordeaux</t>
  </si>
  <si>
    <t>Santé</t>
  </si>
  <si>
    <t>Covoiturage</t>
  </si>
  <si>
    <t>Consultations</t>
  </si>
  <si>
    <t>DateToInt</t>
  </si>
  <si>
    <t>Médicaments</t>
  </si>
  <si>
    <t>Consultations/Médicaments/Remboursements</t>
  </si>
  <si>
    <t>Remboursements</t>
  </si>
  <si>
    <t>Consult Dr Prudhome</t>
  </si>
  <si>
    <t>Remboursement Consult Dr Prudhome</t>
  </si>
  <si>
    <t>15,10</t>
  </si>
  <si>
    <t>Badge</t>
  </si>
  <si>
    <t>Gala</t>
  </si>
  <si>
    <t>Remboursement moitié Gala</t>
  </si>
  <si>
    <t>Covoiturage/Bus</t>
  </si>
  <si>
    <t>Bus</t>
  </si>
  <si>
    <t>Bus Milan-Florence</t>
  </si>
  <si>
    <t>Bus Florence Milan</t>
  </si>
  <si>
    <t>Remboursement Ociane via Maman</t>
  </si>
  <si>
    <t>Sorties</t>
  </si>
  <si>
    <t>Restaurants</t>
  </si>
  <si>
    <t>Restaurants/Bars et Pubs</t>
  </si>
  <si>
    <t>Bars et Pubs</t>
  </si>
  <si>
    <t>Santocha</t>
  </si>
  <si>
    <t>Dick Turpins</t>
  </si>
  <si>
    <r>
      <rPr>
        <b/>
        <sz val="11"/>
        <color theme="1"/>
        <rFont val="Calibri"/>
        <family val="2"/>
        <scheme val="minor"/>
      </rPr>
      <t>Veillez à bien ajouter vos types avant vos sous-types</t>
    </r>
    <r>
      <rPr>
        <sz val="11"/>
        <color theme="1"/>
        <rFont val="Calibri"/>
        <family val="2"/>
        <scheme val="minor"/>
      </rPr>
      <t xml:space="preserve">. Compartimentez bien ces derniers de façon à ce que dépenses et revenus soient cohérents. </t>
    </r>
  </si>
  <si>
    <t>Covoit Bordeaux-Pau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</si>
  <si>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</si>
  <si>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</si>
  <si>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</si>
  <si>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</si>
  <si>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</si>
  <si>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</si>
  <si>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</si>
  <si>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</si>
  <si>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Novembre</t>
  </si>
  <si>
    <t>Décembre</t>
  </si>
  <si>
    <t>Dépense</t>
  </si>
  <si>
    <t>Bilan</t>
  </si>
  <si>
    <t>Type/Mois</t>
  </si>
  <si>
    <t xml:space="preserve">Septembre </t>
  </si>
  <si>
    <t xml:space="preserve">Octobre </t>
  </si>
  <si>
    <t>Mois</t>
  </si>
  <si>
    <r>
      <t xml:space="preserve">Ajout manuel de </t>
    </r>
    <r>
      <rPr>
        <b/>
        <sz val="11"/>
        <color theme="1"/>
        <rFont val="Calibri"/>
        <family val="2"/>
        <scheme val="minor"/>
      </rPr>
      <t>dépenses</t>
    </r>
    <r>
      <rPr>
        <sz val="11"/>
        <color theme="1"/>
        <rFont val="Calibri"/>
        <family val="2"/>
        <scheme val="minor"/>
      </rPr>
      <t xml:space="preserve"> et </t>
    </r>
    <r>
      <rPr>
        <b/>
        <sz val="11"/>
        <color theme="1"/>
        <rFont val="Calibri"/>
        <family val="2"/>
        <scheme val="minor"/>
      </rPr>
      <t xml:space="preserve">revenus </t>
    </r>
    <r>
      <rPr>
        <b/>
        <sz val="11"/>
        <color theme="1"/>
        <rFont val="Calibri"/>
        <family val="2"/>
        <scheme val="minor"/>
      </rPr>
      <t/>
    </r>
  </si>
  <si>
    <t xml:space="preserve">Le formulaire d'ajout ne se ferme pas, il est donc conseillé d'ajouter les dépenses/revenus à la suite des autres. </t>
  </si>
  <si>
    <r>
      <t xml:space="preserve">Quand vous modifiez le champ </t>
    </r>
    <r>
      <rPr>
        <b/>
        <sz val="11"/>
        <color theme="1"/>
        <rFont val="Calibri"/>
        <family val="2"/>
        <scheme val="minor"/>
      </rPr>
      <t xml:space="preserve">Montant, </t>
    </r>
    <r>
      <rPr>
        <sz val="11"/>
        <color theme="1"/>
        <rFont val="Calibri"/>
        <family val="2"/>
        <scheme val="minor"/>
      </rPr>
      <t xml:space="preserve">évitez de mettre autre chose qu'un nombre ou cela causera des erreurs. Ne touchez pas au champ </t>
    </r>
    <r>
      <rPr>
        <b/>
        <sz val="11"/>
        <color theme="1"/>
        <rFont val="Calibri"/>
        <family val="2"/>
        <scheme val="minor"/>
      </rPr>
      <t xml:space="preserve">D/R, Type et Sous-Type. ATTENTION </t>
    </r>
    <r>
      <rPr>
        <sz val="11"/>
        <color theme="1"/>
        <rFont val="Calibri"/>
        <family val="2"/>
        <scheme val="minor"/>
      </rPr>
      <t>au format de la date en la modifiant, sinon les dépenses/revenus de la ligne concernée ne seront pas pris en compte dans les calculs</t>
    </r>
  </si>
  <si>
    <t>Ne rien toucher sur cette feuille, sauf les boutons prévus à cette effet. Tout est généré automatiquement par la macro.</t>
  </si>
  <si>
    <r>
      <t>Lors d'un clic sur "</t>
    </r>
    <r>
      <rPr>
        <b/>
        <sz val="11"/>
        <color theme="1"/>
        <rFont val="Calibri"/>
        <family val="2"/>
        <scheme val="minor"/>
      </rPr>
      <t xml:space="preserve">TOUT GENERER", </t>
    </r>
    <r>
      <rPr>
        <sz val="11"/>
        <color theme="1"/>
        <rFont val="Calibri"/>
        <family val="2"/>
        <scheme val="minor"/>
      </rPr>
      <t xml:space="preserve">soyez </t>
    </r>
    <r>
      <rPr>
        <b/>
        <sz val="11"/>
        <color theme="1"/>
        <rFont val="Calibri"/>
        <family val="2"/>
        <scheme val="minor"/>
      </rPr>
      <t xml:space="preserve">patient : </t>
    </r>
    <r>
      <rPr>
        <sz val="11"/>
        <color theme="1"/>
        <rFont val="Calibri"/>
        <family val="2"/>
        <scheme val="minor"/>
      </rPr>
      <t>la macro prend en compte toutes les dépenses pour ce calcul.</t>
    </r>
  </si>
  <si>
    <t>Gestion des erreurs</t>
  </si>
  <si>
    <t>Graphique incohérent, feuilles non générées</t>
  </si>
  <si>
    <r>
      <t xml:space="preserve">Cliquer sur le bouton </t>
    </r>
    <r>
      <rPr>
        <b/>
        <sz val="11"/>
        <color theme="1"/>
        <rFont val="Calibri"/>
        <family val="2"/>
        <scheme val="minor"/>
      </rPr>
      <t>"Mise en mémoire des types/sous-types"</t>
    </r>
  </si>
  <si>
    <t>Affichage d'une fenêtre avec marqué "débogage"</t>
  </si>
  <si>
    <r>
      <t xml:space="preserve">Vérifiez les valeurs des cases suivant les indications ci-contre. </t>
    </r>
    <r>
      <rPr>
        <b/>
        <sz val="11"/>
        <color theme="1"/>
        <rFont val="Calibri"/>
        <family val="2"/>
        <scheme val="minor"/>
      </rPr>
      <t xml:space="preserve">Sinon, </t>
    </r>
    <r>
      <rPr>
        <sz val="11"/>
        <color theme="1"/>
        <rFont val="Calibri"/>
        <family val="2"/>
        <scheme val="minor"/>
      </rPr>
      <t>il faut toucher au code car il y a des corrections à faire.</t>
    </r>
  </si>
  <si>
    <r>
      <t xml:space="preserve">Ajoutez des dépenses et revenus selon chaque type, puis cliquez sur </t>
    </r>
    <r>
      <rPr>
        <b/>
        <sz val="11"/>
        <color theme="1"/>
        <rFont val="Calibri"/>
        <family val="2"/>
        <scheme val="minor"/>
      </rPr>
      <t xml:space="preserve">"Créer/Actualiser les feuilles" </t>
    </r>
    <r>
      <rPr>
        <sz val="11"/>
        <color theme="1"/>
        <rFont val="Calibri"/>
        <family val="2"/>
        <scheme val="minor"/>
      </rPr>
      <t>pour générer les feuilles contenant les dépenses par sous type. Vous pouvez égaement supprimer les feuilles générées</t>
    </r>
  </si>
  <si>
    <r>
      <t xml:space="preserve">Cliquer sur </t>
    </r>
    <r>
      <rPr>
        <b/>
        <sz val="11"/>
        <color theme="1"/>
        <rFont val="Calibri"/>
        <family val="2"/>
        <scheme val="minor"/>
      </rPr>
      <t xml:space="preserve">"TOUT GENERER" </t>
    </r>
    <r>
      <rPr>
        <sz val="11"/>
        <color theme="1"/>
        <rFont val="Calibri"/>
        <family val="2"/>
        <scheme val="minor"/>
      </rPr>
      <t>pour rafraichir les calculs et générer les graphes automatiquement. Cela peut prendre du temps.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</si>
</sst>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0" xfId="0" applyFont="1"/>
    <xf numFmtId="0" fontId="0" fillId="0" borderId="1" xfId="0" applyBorder="1" applyAlignment="1">
      <alignment horizontal="left" vertical="top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/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 wrapText="1"/>
    </xf>
    <xf numFmtId="0" fontId="6" fillId="15" borderId="1" xfId="0" applyFont="1" applyFill="1" applyBorder="1" applyAlignment="1">
      <alignment horizontal="center" vertical="center" wrapText="1"/>
    </xf>
    <xf numFmtId="0" fontId="6" fillId="16" borderId="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center" vertical="center" wrapText="1"/>
    </xf>
    <xf numFmtId="14" fontId="6" fillId="11" borderId="1" xfId="0" applyNumberFormat="1" applyFont="1" applyFill="1" applyBorder="1" applyAlignment="1">
      <alignment horizontal="center" vertical="center" wrapText="1"/>
    </xf>
    <xf numFmtId="14" fontId="6" fillId="12" borderId="1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6" fillId="17" borderId="1" xfId="0" applyFont="1" applyFill="1" applyBorder="1" applyAlignment="1">
      <alignment horizontal="center" vertical="center" wrapText="1"/>
    </xf>
    <xf numFmtId="0" fontId="6" fillId="18" borderId="1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2" fontId="0" fillId="0" borderId="0" xfId="0" applyNumberFormat="1" applyBorder="1"/>
    <xf numFmtId="0" fontId="6" fillId="19" borderId="1" xfId="0" applyFont="1" applyFill="1" applyBorder="1" applyAlignment="1">
      <alignment horizontal="center" vertical="center" wrapText="1"/>
    </xf>
    <xf numFmtId="0" fontId="6" fillId="20" borderId="1" xfId="0" applyFont="1" applyFill="1" applyBorder="1" applyAlignment="1">
      <alignment horizontal="center" vertical="center" wrapText="1"/>
    </xf>
    <xf numFmtId="0" fontId="0" fillId="0" borderId="0" xfId="0" applyBorder="1"/>
    <xf numFmtId="2" fontId="0" fillId="0" borderId="1" xfId="0" applyNumberFormat="1" applyBorder="1"/>
    <xf numFmtId="0" fontId="0" fillId="0" borderId="1" xfId="0" applyBorder="1"/>
    <xf numFmtId="0" fontId="6" fillId="10" borderId="7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left"/>
    </xf>
    <xf numFmtId="14" fontId="6" fillId="6" borderId="1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6" fillId="9" borderId="1" xfId="0" applyFont="1" applyFill="1" applyBorder="1" applyAlignment="1">
      <alignment horizontal="center" vertical="center" wrapText="1"/>
    </xf>
    <xf numFmtId="0" fontId="6" fillId="21" borderId="1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0" fontId="6" fillId="23" borderId="1" xfId="0" applyFont="1" applyFill="1" applyBorder="1" applyAlignment="1">
      <alignment horizontal="center" vertical="center" wrapText="1"/>
    </xf>
    <xf numFmtId="0" fontId="6" fillId="24" borderId="1" xfId="0" applyFont="1" applyFill="1" applyBorder="1" applyAlignment="1">
      <alignment horizontal="center" vertical="center" wrapText="1"/>
    </xf>
    <xf numFmtId="0" fontId="6" fillId="25" borderId="1" xfId="0" applyFont="1" applyFill="1" applyBorder="1" applyAlignment="1">
      <alignment horizontal="center" vertical="center" wrapText="1"/>
    </xf>
    <xf numFmtId="0" fontId="6" fillId="26" borderId="1" xfId="0" applyFont="1" applyFill="1" applyBorder="1" applyAlignment="1">
      <alignment horizontal="center" vertical="center" wrapText="1"/>
    </xf>
    <xf numFmtId="0" fontId="6" fillId="22" borderId="1" xfId="0" applyFont="1" applyFill="1" applyBorder="1" applyAlignment="1">
      <alignment horizontal="center" vertical="center" wrapText="1"/>
    </xf>
    <xf numFmtId="0" fontId="6" fillId="27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6" fillId="28" borderId="1" xfId="0" applyFont="1" applyFill="1" applyBorder="1" applyAlignment="1">
      <alignment horizontal="center" vertical="center" wrapText="1"/>
    </xf>
    <xf numFmtId="14" fontId="6" fillId="0" borderId="0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5" fillId="0" borderId="0" xfId="0" applyFont="1" applyFill="1" applyBorder="1" applyAlignment="1">
      <alignment vertical="center"/>
    </xf>
    <xf numFmtId="0" fontId="1" fillId="15" borderId="1" xfId="0" applyFont="1" applyFill="1" applyBorder="1"/>
    <xf numFmtId="0" fontId="1" fillId="29" borderId="1" xfId="0" applyFont="1" applyFill="1" applyBorder="1"/>
    <xf numFmtId="0" fontId="1" fillId="30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15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2" fillId="2" borderId="1" xfId="0" applyFont="1" applyFill="1" applyBorder="1" applyAlignment="1">
      <alignment horizontal="center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Bilan dépenses/revenus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Bilan!$B$5</c:f>
              <c:strCache>
                <c:ptCount val="1"/>
                <c:pt idx="0">
                  <c:v>Montant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Bilan!$A$6:$A$8</c:f>
              <c:strCache>
                <c:ptCount val="3"/>
                <c:pt idx="0">
                  <c:v>Dépense</c:v>
                </c:pt>
                <c:pt idx="1">
                  <c:v>Revenu</c:v>
                </c:pt>
                <c:pt idx="2">
                  <c:v>Bilan</c:v>
                </c:pt>
              </c:strCache>
            </c:strRef>
          </c:cat>
          <c:val>
            <c:numRef>
              <c:f>Bilan!$B$6:$B$8</c:f>
              <c:numCache>
                <c:formatCode>0.00</c:formatCode>
                <c:ptCount val="3"/>
                <c:pt idx="0">
                  <c:v>-1625.54</c:v>
                </c:pt>
                <c:pt idx="1">
                  <c:v>329.40000000000003</c:v>
                </c:pt>
                <c:pt idx="2">
                  <c:v>-1296.1399999999999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89470736"/>
        <c:axId val="-1189466384"/>
      </c:barChart>
      <c:catAx>
        <c:axId val="-118947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-1189466384"/>
        <c:crosses val="autoZero"/>
        <c:auto val="1"/>
        <c:lblAlgn val="ctr"/>
        <c:lblOffset val="100"/>
        <c:noMultiLvlLbl val="0"/>
      </c:catAx>
      <c:valAx>
        <c:axId val="-11894663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1189470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Dépenses/Revenus par mois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Bilan!$B$10</c:f>
              <c:strCache>
                <c:ptCount val="1"/>
                <c:pt idx="0">
                  <c:v>Montant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Bilan!$B$11:$B$22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-715</c:v>
                </c:pt>
                <c:pt idx="9">
                  <c:v>178.06</c:v>
                </c:pt>
                <c:pt idx="10">
                  <c:v>-738.19999999999993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89464752"/>
        <c:axId val="-1189464208"/>
      </c:barChart>
      <c:catAx>
        <c:axId val="-11894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-1189464208"/>
        <c:crosses val="autoZero"/>
        <c:auto val="1"/>
        <c:lblAlgn val="ctr"/>
        <c:lblOffset val="100"/>
        <c:noMultiLvlLbl val="0"/>
      </c:catAx>
      <c:valAx>
        <c:axId val="-118946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189464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%tage dépenses/revenus par mois</a:t>
            </a:r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Bilan!$B$10</c:f>
              <c:strCache>
                <c:ptCount val="1"/>
                <c:pt idx="0">
                  <c:v>Montant</c:v>
                </c:pt>
              </c:strCache>
            </c:strRef>
          </c:tx>
          <c:dPt>
            <c:idx val="0"/>
            <c:bubble3D val="0"/>
            <c:spPr>
              <a:solidFill>
                <a:srgbClr val="FFFF99"/>
              </a:solidFill>
            </c:spPr>
          </c:dPt>
          <c:dPt>
            <c:idx val="1"/>
            <c:bubble3D val="0"/>
            <c:spPr>
              <a:solidFill>
                <a:srgbClr val="99CCFF"/>
              </a:solidFill>
            </c:spPr>
          </c:dPt>
          <c:dPt>
            <c:idx val="2"/>
            <c:bubble3D val="0"/>
            <c:spPr>
              <a:solidFill>
                <a:srgbClr val="FF99CC"/>
              </a:solidFill>
            </c:spPr>
          </c:dPt>
          <c:dPt>
            <c:idx val="3"/>
            <c:bubble3D val="0"/>
            <c:spPr>
              <a:solidFill>
                <a:srgbClr val="CC99FF"/>
              </a:solidFill>
            </c:spPr>
          </c:dPt>
          <c:dPt>
            <c:idx val="4"/>
            <c:bubble3D val="0"/>
            <c:spPr>
              <a:solidFill>
                <a:srgbClr val="FFCC99"/>
              </a:solidFill>
            </c:spPr>
          </c:dPt>
          <c:dPt>
            <c:idx val="5"/>
            <c:bubble3D val="0"/>
            <c:spPr>
              <a:solidFill>
                <a:srgbClr val="3366FF"/>
              </a:solidFill>
            </c:spPr>
          </c:dPt>
          <c:dPt>
            <c:idx val="6"/>
            <c:bubble3D val="0"/>
            <c:spPr>
              <a:solidFill>
                <a:srgbClr val="33CCCC"/>
              </a:solidFill>
            </c:spPr>
          </c:dPt>
          <c:dPt>
            <c:idx val="7"/>
            <c:bubble3D val="0"/>
            <c:spPr>
              <a:solidFill>
                <a:srgbClr val="99CC00"/>
              </a:solidFill>
            </c:spPr>
          </c:dPt>
          <c:dPt>
            <c:idx val="8"/>
            <c:bubble3D val="0"/>
            <c:spPr>
              <a:solidFill>
                <a:srgbClr val="FFCC00"/>
              </a:solidFill>
            </c:spPr>
          </c:dPt>
          <c:dPt>
            <c:idx val="9"/>
            <c:bubble3D val="0"/>
            <c:spPr>
              <a:solidFill>
                <a:srgbClr val="FF9900"/>
              </a:solidFill>
            </c:spPr>
          </c:dPt>
          <c:dPt>
            <c:idx val="10"/>
            <c:bubble3D val="0"/>
            <c:spPr>
              <a:solidFill>
                <a:srgbClr val="FF6600"/>
              </a:solidFill>
            </c:spPr>
          </c:dPt>
          <c:dPt>
            <c:idx val="11"/>
            <c:bubble3D val="0"/>
            <c:spPr>
              <a:solidFill>
                <a:srgbClr val="666699"/>
              </a:solidFill>
            </c:spPr>
          </c:dPt>
          <c:dLbls>
            <c:numFmt formatCode="0%;\-0%;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Bilan!$A$11:$A$22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Bilan!$B$11:$B$22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-715</c:v>
                </c:pt>
                <c:pt idx="9">
                  <c:v>178.06</c:v>
                </c:pt>
                <c:pt idx="10">
                  <c:v>-738.19999999999993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Variation dépenses/revenus dans l'année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Bilan!$B$10</c:f>
              <c:strCache>
                <c:ptCount val="1"/>
                <c:pt idx="0">
                  <c:v>Montant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Bilan!$A$11:$A$22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Bilan!$B$11:$B$22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-715</c:v>
                </c:pt>
                <c:pt idx="9">
                  <c:v>178.06</c:v>
                </c:pt>
                <c:pt idx="10">
                  <c:v>-738.19999999999993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89476176"/>
        <c:axId val="-1189475632"/>
      </c:lineChart>
      <c:catAx>
        <c:axId val="-118947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189475632"/>
        <c:crosses val="autoZero"/>
        <c:auto val="1"/>
        <c:lblAlgn val="ctr"/>
        <c:lblOffset val="100"/>
        <c:noMultiLvlLbl val="0"/>
      </c:catAx>
      <c:valAx>
        <c:axId val="-1189475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189476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Dépenses/revenus par mois par type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Bilan!$A$44</c:f>
              <c:strCache>
                <c:ptCount val="1"/>
                <c:pt idx="0">
                  <c:v>Eisti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-700</c:v>
                </c:pt>
                <c:pt idx="9">
                  <c:v>-54.7</c:v>
                </c:pt>
                <c:pt idx="10">
                  <c:v>-680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Bilan!$A$45</c:f>
              <c:strCache>
                <c:ptCount val="1"/>
                <c:pt idx="0">
                  <c:v>Courses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Bilan!$B$45:$M$45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-17.240000000000002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Bilan!$A$46</c:f>
              <c:strCache>
                <c:ptCount val="1"/>
                <c:pt idx="0">
                  <c:v>Grands parents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Bilan!$B$46:$M$46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Bilan!$A$47</c:f>
              <c:strCache>
                <c:ptCount val="1"/>
                <c:pt idx="0">
                  <c:v>Voiture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Bilan!$B$47:$M$47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-20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Bilan!$A$48</c:f>
              <c:strCache>
                <c:ptCount val="1"/>
                <c:pt idx="0">
                  <c:v>Deplacement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Bilan!$B$48:$M$48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0</c:v>
                </c:pt>
                <c:pt idx="9">
                  <c:v>0</c:v>
                </c:pt>
                <c:pt idx="10">
                  <c:v>-26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Bilan!$A$49</c:f>
              <c:strCache>
                <c:ptCount val="1"/>
                <c:pt idx="0">
                  <c:v>Santé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Bilan!$B$49:$M$49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-3.9000000000000004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Bilan!$A$50</c:f>
              <c:strCache>
                <c:ptCount val="1"/>
                <c:pt idx="0">
                  <c:v>Sorties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Bilan!$B$50:$M$50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-28.3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23159136"/>
        <c:axId val="-923161312"/>
      </c:barChart>
      <c:catAx>
        <c:axId val="-92315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-923161312"/>
        <c:crosses val="autoZero"/>
        <c:auto val="1"/>
        <c:lblAlgn val="ctr"/>
        <c:lblOffset val="100"/>
        <c:noMultiLvlLbl val="0"/>
      </c:catAx>
      <c:valAx>
        <c:axId val="-92316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923159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Variations des dépenses/revenus par mois par type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Bilan!$A$44</c:f>
              <c:strCache>
                <c:ptCount val="1"/>
                <c:pt idx="0">
                  <c:v>Eisti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-700</c:v>
                </c:pt>
                <c:pt idx="9">
                  <c:v>-54.7</c:v>
                </c:pt>
                <c:pt idx="10">
                  <c:v>-680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Bilan!$A$45</c:f>
              <c:strCache>
                <c:ptCount val="1"/>
                <c:pt idx="0">
                  <c:v>Courses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Bilan!$B$45:$M$45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-17.240000000000002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Bilan!$A$46</c:f>
              <c:strCache>
                <c:ptCount val="1"/>
                <c:pt idx="0">
                  <c:v>Grands parents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Bilan!$B$46:$M$46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Bilan!$A$47</c:f>
              <c:strCache>
                <c:ptCount val="1"/>
                <c:pt idx="0">
                  <c:v>Voiture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Bilan!$B$47:$M$47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-20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Bilan!$A$48</c:f>
              <c:strCache>
                <c:ptCount val="1"/>
                <c:pt idx="0">
                  <c:v>Deplacement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Bilan!$B$48:$M$48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0</c:v>
                </c:pt>
                <c:pt idx="9">
                  <c:v>0</c:v>
                </c:pt>
                <c:pt idx="10">
                  <c:v>-26</c:v>
                </c:pt>
                <c:pt idx="1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Bilan!$A$49</c:f>
              <c:strCache>
                <c:ptCount val="1"/>
                <c:pt idx="0">
                  <c:v>Santé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Bilan!$B$49:$M$49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-3.9000000000000004</c:v>
                </c:pt>
                <c:pt idx="1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Bilan!$A$50</c:f>
              <c:strCache>
                <c:ptCount val="1"/>
                <c:pt idx="0">
                  <c:v>Sorties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Bilan!$B$50:$M$50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-28.3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23170016"/>
        <c:axId val="-923168384"/>
      </c:lineChart>
      <c:catAx>
        <c:axId val="-92317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-923168384"/>
        <c:crosses val="autoZero"/>
        <c:auto val="1"/>
        <c:lblAlgn val="ctr"/>
        <c:lblOffset val="100"/>
        <c:noMultiLvlLbl val="0"/>
      </c:catAx>
      <c:valAx>
        <c:axId val="-92316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923170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19050</xdr:rowOff>
        </xdr:from>
        <xdr:to>
          <xdr:col>4</xdr:col>
          <xdr:colOff>352425</xdr:colOff>
          <xdr:row>1</xdr:row>
          <xdr:rowOff>333375</xdr:rowOff>
        </xdr:to>
        <xdr:sp macro="" textlink="">
          <xdr:nvSpPr>
            <xdr:cNvPr id="2049" name="checkbox_son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66675</xdr:rowOff>
    </xdr:from>
    <xdr:to>
      <xdr:col>0</xdr:col>
      <xdr:colOff>1428750</xdr:colOff>
      <xdr:row>4</xdr:row>
      <xdr:rowOff>161925</xdr:rowOff>
    </xdr:to>
    <xdr:sp macro="[0]!ajouterType" textlink="">
      <xdr:nvSpPr>
        <xdr:cNvPr id="7" name="Rectangle 6"/>
        <xdr:cNvSpPr/>
      </xdr:nvSpPr>
      <xdr:spPr>
        <a:xfrm>
          <a:off x="28575" y="695325"/>
          <a:ext cx="1400175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 un type</a:t>
          </a:r>
        </a:p>
      </xdr:txBody>
    </xdr:sp>
    <xdr:clientData/>
  </xdr:twoCellAnchor>
  <xdr:twoCellAnchor>
    <xdr:from>
      <xdr:col>5</xdr:col>
      <xdr:colOff>28574</xdr:colOff>
      <xdr:row>3</xdr:row>
      <xdr:rowOff>38100</xdr:rowOff>
    </xdr:from>
    <xdr:to>
      <xdr:col>5</xdr:col>
      <xdr:colOff>1600199</xdr:colOff>
      <xdr:row>4</xdr:row>
      <xdr:rowOff>133350</xdr:rowOff>
    </xdr:to>
    <xdr:sp macro="[0]!ajouterSousType" textlink="">
      <xdr:nvSpPr>
        <xdr:cNvPr id="8" name="Rectangle 7"/>
        <xdr:cNvSpPr/>
      </xdr:nvSpPr>
      <xdr:spPr>
        <a:xfrm>
          <a:off x="5781674" y="666750"/>
          <a:ext cx="1571625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 un sous-type</a:t>
          </a:r>
        </a:p>
      </xdr:txBody>
    </xdr:sp>
    <xdr:clientData/>
  </xdr:twoCellAnchor>
  <xdr:twoCellAnchor>
    <xdr:from>
      <xdr:col>0</xdr:col>
      <xdr:colOff>38099</xdr:colOff>
      <xdr:row>1</xdr:row>
      <xdr:rowOff>666750</xdr:rowOff>
    </xdr:from>
    <xdr:to>
      <xdr:col>0</xdr:col>
      <xdr:colOff>1438274</xdr:colOff>
      <xdr:row>3</xdr:row>
      <xdr:rowOff>9525</xdr:rowOff>
    </xdr:to>
    <xdr:sp macro="[0]!supprimerTypesSousTypes" textlink="">
      <xdr:nvSpPr>
        <xdr:cNvPr id="3" name="Rectangle 2"/>
        <xdr:cNvSpPr/>
      </xdr:nvSpPr>
      <xdr:spPr>
        <a:xfrm>
          <a:off x="38099" y="857250"/>
          <a:ext cx="1400175" cy="276225"/>
        </a:xfrm>
        <a:prstGeom prst="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Tout</a:t>
          </a:r>
          <a:r>
            <a:rPr lang="fr-FR" sz="1100" b="1" baseline="0"/>
            <a:t> supprimer</a:t>
          </a:r>
          <a:endParaRPr lang="fr-FR" sz="1100" b="1"/>
        </a:p>
      </xdr:txBody>
    </xdr:sp>
    <xdr:clientData/>
  </xdr:twoCellAnchor>
  <xdr:twoCellAnchor>
    <xdr:from>
      <xdr:col>2</xdr:col>
      <xdr:colOff>685801</xdr:colOff>
      <xdr:row>3</xdr:row>
      <xdr:rowOff>76199</xdr:rowOff>
    </xdr:from>
    <xdr:to>
      <xdr:col>3</xdr:col>
      <xdr:colOff>9526</xdr:colOff>
      <xdr:row>4</xdr:row>
      <xdr:rowOff>142874</xdr:rowOff>
    </xdr:to>
    <xdr:sp macro="" textlink="">
      <xdr:nvSpPr>
        <xdr:cNvPr id="11" name="Rectangle 10"/>
        <xdr:cNvSpPr/>
      </xdr:nvSpPr>
      <xdr:spPr>
        <a:xfrm>
          <a:off x="2962276" y="704849"/>
          <a:ext cx="1714500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</a:t>
          </a:r>
          <a:r>
            <a:rPr lang="fr-FR" sz="1100" b="1" baseline="0"/>
            <a:t> un type</a:t>
          </a:r>
          <a:endParaRPr lang="fr-FR" sz="1100" b="1"/>
        </a:p>
      </xdr:txBody>
    </xdr:sp>
    <xdr:clientData/>
  </xdr:twoCellAnchor>
  <xdr:twoCellAnchor>
    <xdr:from>
      <xdr:col>6</xdr:col>
      <xdr:colOff>219075</xdr:colOff>
      <xdr:row>3</xdr:row>
      <xdr:rowOff>38100</xdr:rowOff>
    </xdr:from>
    <xdr:to>
      <xdr:col>7</xdr:col>
      <xdr:colOff>9525</xdr:colOff>
      <xdr:row>4</xdr:row>
      <xdr:rowOff>104775</xdr:rowOff>
    </xdr:to>
    <xdr:sp macro="" textlink="">
      <xdr:nvSpPr>
        <xdr:cNvPr id="12" name="Rectangle 11"/>
        <xdr:cNvSpPr/>
      </xdr:nvSpPr>
      <xdr:spPr>
        <a:xfrm>
          <a:off x="8077200" y="666750"/>
          <a:ext cx="1990725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</a:t>
          </a:r>
          <a:r>
            <a:rPr lang="fr-FR" sz="1100" b="1" baseline="0"/>
            <a:t> un sous-type</a:t>
          </a:r>
          <a:endParaRPr lang="fr-FR" sz="1100" b="1"/>
        </a:p>
      </xdr:txBody>
    </xdr:sp>
    <xdr:clientData/>
  </xdr:twoCellAnchor>
  <xdr:twoCellAnchor>
    <xdr:from>
      <xdr:col>2</xdr:col>
      <xdr:colOff>666750</xdr:colOff>
      <xdr:row>2</xdr:row>
      <xdr:rowOff>9525</xdr:rowOff>
    </xdr:from>
    <xdr:to>
      <xdr:col>3</xdr:col>
      <xdr:colOff>9525</xdr:colOff>
      <xdr:row>3</xdr:row>
      <xdr:rowOff>19049</xdr:rowOff>
    </xdr:to>
    <xdr:sp macro="[0]!supprTypesOnly" textlink="">
      <xdr:nvSpPr>
        <xdr:cNvPr id="9" name="Rectangle 8"/>
        <xdr:cNvSpPr/>
      </xdr:nvSpPr>
      <xdr:spPr>
        <a:xfrm>
          <a:off x="2943225" y="390525"/>
          <a:ext cx="1733550" cy="25717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TOUS les types</a:t>
          </a:r>
        </a:p>
      </xdr:txBody>
    </xdr:sp>
    <xdr:clientData/>
  </xdr:twoCellAnchor>
  <xdr:twoCellAnchor>
    <xdr:from>
      <xdr:col>6</xdr:col>
      <xdr:colOff>219075</xdr:colOff>
      <xdr:row>1</xdr:row>
      <xdr:rowOff>228601</xdr:rowOff>
    </xdr:from>
    <xdr:to>
      <xdr:col>7</xdr:col>
      <xdr:colOff>9524</xdr:colOff>
      <xdr:row>2</xdr:row>
      <xdr:rowOff>219076</xdr:rowOff>
    </xdr:to>
    <xdr:sp macro="[0]!supprSousTypesOnly" textlink="">
      <xdr:nvSpPr>
        <xdr:cNvPr id="10" name="Rectangle 9"/>
        <xdr:cNvSpPr/>
      </xdr:nvSpPr>
      <xdr:spPr>
        <a:xfrm>
          <a:off x="8982075" y="561976"/>
          <a:ext cx="1990724" cy="24765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TOUS les sous-types</a:t>
          </a:r>
        </a:p>
      </xdr:txBody>
    </xdr:sp>
    <xdr:clientData/>
  </xdr:twoCellAnchor>
  <xdr:twoCellAnchor>
    <xdr:from>
      <xdr:col>1</xdr:col>
      <xdr:colOff>66676</xdr:colOff>
      <xdr:row>3</xdr:row>
      <xdr:rowOff>76199</xdr:rowOff>
    </xdr:from>
    <xdr:to>
      <xdr:col>2</xdr:col>
      <xdr:colOff>619125</xdr:colOff>
      <xdr:row>4</xdr:row>
      <xdr:rowOff>142874</xdr:rowOff>
    </xdr:to>
    <xdr:sp macro="" textlink="">
      <xdr:nvSpPr>
        <xdr:cNvPr id="13" name="Rectangle 12"/>
        <xdr:cNvSpPr/>
      </xdr:nvSpPr>
      <xdr:spPr>
        <a:xfrm>
          <a:off x="1504951" y="704849"/>
          <a:ext cx="1390649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Modifier un type</a:t>
          </a:r>
          <a:endParaRPr lang="fr-FR" sz="1100" b="1"/>
        </a:p>
      </xdr:txBody>
    </xdr:sp>
    <xdr:clientData/>
  </xdr:twoCellAnchor>
  <xdr:twoCellAnchor>
    <xdr:from>
      <xdr:col>5</xdr:col>
      <xdr:colOff>1743075</xdr:colOff>
      <xdr:row>3</xdr:row>
      <xdr:rowOff>38100</xdr:rowOff>
    </xdr:from>
    <xdr:to>
      <xdr:col>6</xdr:col>
      <xdr:colOff>123824</xdr:colOff>
      <xdr:row>4</xdr:row>
      <xdr:rowOff>114299</xdr:rowOff>
    </xdr:to>
    <xdr:sp macro="" textlink="">
      <xdr:nvSpPr>
        <xdr:cNvPr id="14" name="Rectangle 13"/>
        <xdr:cNvSpPr/>
      </xdr:nvSpPr>
      <xdr:spPr>
        <a:xfrm>
          <a:off x="7496175" y="666750"/>
          <a:ext cx="1514474" cy="266699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Modifier un sous-type</a:t>
          </a:r>
          <a:endParaRPr lang="fr-FR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142875</xdr:rowOff>
        </xdr:from>
        <xdr:to>
          <xdr:col>2</xdr:col>
          <xdr:colOff>95250</xdr:colOff>
          <xdr:row>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Mise en mémoire des types/sous-types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0</xdr:rowOff>
    </xdr:from>
    <xdr:to>
      <xdr:col>1</xdr:col>
      <xdr:colOff>447675</xdr:colOff>
      <xdr:row>6</xdr:row>
      <xdr:rowOff>95250</xdr:rowOff>
    </xdr:to>
    <xdr:sp macro="[0]!ajouterDepenseRevenu" textlink="">
      <xdr:nvSpPr>
        <xdr:cNvPr id="2" name="Rectangle 1"/>
        <xdr:cNvSpPr/>
      </xdr:nvSpPr>
      <xdr:spPr>
        <a:xfrm>
          <a:off x="38100" y="952500"/>
          <a:ext cx="1876425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</a:t>
          </a:r>
          <a:r>
            <a:rPr lang="fr-FR" sz="1100" b="1"/>
            <a:t>dépense/revenu</a:t>
          </a:r>
        </a:p>
      </xdr:txBody>
    </xdr:sp>
    <xdr:clientData/>
  </xdr:twoCellAnchor>
  <xdr:twoCellAnchor>
    <xdr:from>
      <xdr:col>2</xdr:col>
      <xdr:colOff>38100</xdr:colOff>
      <xdr:row>5</xdr:row>
      <xdr:rowOff>19050</xdr:rowOff>
    </xdr:from>
    <xdr:to>
      <xdr:col>3</xdr:col>
      <xdr:colOff>285749</xdr:colOff>
      <xdr:row>6</xdr:row>
      <xdr:rowOff>85725</xdr:rowOff>
    </xdr:to>
    <xdr:sp macro="[0]!triParDateDR" textlink="">
      <xdr:nvSpPr>
        <xdr:cNvPr id="3" name="Rectangle 2"/>
        <xdr:cNvSpPr/>
      </xdr:nvSpPr>
      <xdr:spPr>
        <a:xfrm>
          <a:off x="2771775" y="971550"/>
          <a:ext cx="1390649" cy="257175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Trier par date</a:t>
          </a:r>
          <a:endParaRPr lang="fr-FR" sz="1100" b="1"/>
        </a:p>
      </xdr:txBody>
    </xdr:sp>
    <xdr:clientData/>
  </xdr:twoCellAnchor>
  <xdr:twoCellAnchor>
    <xdr:from>
      <xdr:col>3</xdr:col>
      <xdr:colOff>352425</xdr:colOff>
      <xdr:row>5</xdr:row>
      <xdr:rowOff>19050</xdr:rowOff>
    </xdr:from>
    <xdr:to>
      <xdr:col>4</xdr:col>
      <xdr:colOff>542924</xdr:colOff>
      <xdr:row>6</xdr:row>
      <xdr:rowOff>85725</xdr:rowOff>
    </xdr:to>
    <xdr:sp macro="[0]!triParTypeDR" textlink="">
      <xdr:nvSpPr>
        <xdr:cNvPr id="4" name="Rectangle 3"/>
        <xdr:cNvSpPr/>
      </xdr:nvSpPr>
      <xdr:spPr>
        <a:xfrm>
          <a:off x="4229100" y="971550"/>
          <a:ext cx="1390649" cy="257175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Trier par type</a:t>
          </a:r>
          <a:endParaRPr lang="fr-FR" sz="1100" b="1"/>
        </a:p>
      </xdr:txBody>
    </xdr:sp>
    <xdr:clientData/>
  </xdr:twoCellAnchor>
  <xdr:twoCellAnchor>
    <xdr:from>
      <xdr:col>4</xdr:col>
      <xdr:colOff>790575</xdr:colOff>
      <xdr:row>5</xdr:row>
      <xdr:rowOff>28575</xdr:rowOff>
    </xdr:from>
    <xdr:to>
      <xdr:col>5</xdr:col>
      <xdr:colOff>1000125</xdr:colOff>
      <xdr:row>6</xdr:row>
      <xdr:rowOff>95250</xdr:rowOff>
    </xdr:to>
    <xdr:sp macro="[0]!supprDepensesRevenus" textlink="">
      <xdr:nvSpPr>
        <xdr:cNvPr id="5" name="Rectangle 4"/>
        <xdr:cNvSpPr/>
      </xdr:nvSpPr>
      <xdr:spPr>
        <a:xfrm>
          <a:off x="5867400" y="981075"/>
          <a:ext cx="1400175" cy="257175"/>
        </a:xfrm>
        <a:prstGeom prst="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Tout</a:t>
          </a:r>
          <a:r>
            <a:rPr lang="fr-FR" sz="1100" b="1" baseline="0"/>
            <a:t> supprimer</a:t>
          </a:r>
          <a:endParaRPr lang="fr-FR" sz="1100" b="1"/>
        </a:p>
      </xdr:txBody>
    </xdr:sp>
    <xdr:clientData/>
  </xdr:twoCellAnchor>
  <xdr:twoCellAnchor>
    <xdr:from>
      <xdr:col>0</xdr:col>
      <xdr:colOff>38100</xdr:colOff>
      <xdr:row>3</xdr:row>
      <xdr:rowOff>38100</xdr:rowOff>
    </xdr:from>
    <xdr:to>
      <xdr:col>1</xdr:col>
      <xdr:colOff>457200</xdr:colOff>
      <xdr:row>4</xdr:row>
      <xdr:rowOff>133350</xdr:rowOff>
    </xdr:to>
    <xdr:sp macro="[0]!creerFeuillesFromTypesAndFill" textlink="">
      <xdr:nvSpPr>
        <xdr:cNvPr id="6" name="Rectangle 5"/>
        <xdr:cNvSpPr/>
      </xdr:nvSpPr>
      <xdr:spPr>
        <a:xfrm>
          <a:off x="38100" y="609600"/>
          <a:ext cx="1885950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Créer/Actualiser</a:t>
          </a:r>
          <a:r>
            <a:rPr lang="fr-FR" sz="1100" b="1" baseline="0"/>
            <a:t> les feuilles</a:t>
          </a:r>
          <a:endParaRPr lang="fr-FR" sz="1100" b="1"/>
        </a:p>
      </xdr:txBody>
    </xdr:sp>
    <xdr:clientData/>
  </xdr:twoCellAnchor>
  <xdr:twoCellAnchor>
    <xdr:from>
      <xdr:col>4</xdr:col>
      <xdr:colOff>742950</xdr:colOff>
      <xdr:row>3</xdr:row>
      <xdr:rowOff>28576</xdr:rowOff>
    </xdr:from>
    <xdr:to>
      <xdr:col>5</xdr:col>
      <xdr:colOff>1009650</xdr:colOff>
      <xdr:row>4</xdr:row>
      <xdr:rowOff>123826</xdr:rowOff>
    </xdr:to>
    <xdr:sp macro="[0]!supprimerFeuillesFromTypesAvecVerif" textlink="">
      <xdr:nvSpPr>
        <xdr:cNvPr id="8" name="Rectangle 7"/>
        <xdr:cNvSpPr/>
      </xdr:nvSpPr>
      <xdr:spPr>
        <a:xfrm>
          <a:off x="5819775" y="600076"/>
          <a:ext cx="1457325" cy="285750"/>
        </a:xfrm>
        <a:prstGeom prst="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les feuilles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57150</xdr:rowOff>
        </xdr:from>
        <xdr:to>
          <xdr:col>1</xdr:col>
          <xdr:colOff>1019175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Mise en mémoire des types/sous-types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0</xdr:row>
          <xdr:rowOff>76200</xdr:rowOff>
        </xdr:from>
        <xdr:to>
          <xdr:col>8</xdr:col>
          <xdr:colOff>257175</xdr:colOff>
          <xdr:row>2</xdr:row>
          <xdr:rowOff>38100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Cacher/Afficher Feuilles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0</xdr:row>
          <xdr:rowOff>104774</xdr:rowOff>
        </xdr:from>
        <xdr:to>
          <xdr:col>4</xdr:col>
          <xdr:colOff>752475</xdr:colOff>
          <xdr:row>2</xdr:row>
          <xdr:rowOff>57149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Couleurs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1</xdr:col>
      <xdr:colOff>38100</xdr:colOff>
      <xdr:row>1</xdr:row>
      <xdr:rowOff>133350</xdr:rowOff>
    </xdr:to>
    <xdr:sp macro="[0]!refreshDepenseRevenu" textlink="">
      <xdr:nvSpPr>
        <xdr:cNvPr id="2" name="Rectangle 1"/>
        <xdr:cNvSpPr/>
      </xdr:nvSpPr>
      <xdr:spPr>
        <a:xfrm>
          <a:off x="19050" y="38100"/>
          <a:ext cx="1095375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 Bilan</a:t>
          </a:r>
          <a:endParaRPr lang="fr-FR" sz="1100" b="1" baseline="0"/>
        </a:p>
      </xdr:txBody>
    </xdr:sp>
    <xdr:clientData/>
  </xdr:twoCellAnchor>
  <xdr:twoCellAnchor>
    <xdr:from>
      <xdr:col>0</xdr:col>
      <xdr:colOff>28575</xdr:colOff>
      <xdr:row>2</xdr:row>
      <xdr:rowOff>9525</xdr:rowOff>
    </xdr:from>
    <xdr:to>
      <xdr:col>1</xdr:col>
      <xdr:colOff>457200</xdr:colOff>
      <xdr:row>3</xdr:row>
      <xdr:rowOff>104775</xdr:rowOff>
    </xdr:to>
    <xdr:sp macro="[0]!refreshDepenseParMois" textlink="">
      <xdr:nvSpPr>
        <xdr:cNvPr id="8" name="Rectangle 7"/>
        <xdr:cNvSpPr/>
      </xdr:nvSpPr>
      <xdr:spPr>
        <a:xfrm>
          <a:off x="28575" y="390525"/>
          <a:ext cx="1504950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 Total/Mois</a:t>
          </a:r>
          <a:endParaRPr lang="fr-FR" sz="1100" b="1" baseline="0"/>
        </a:p>
      </xdr:txBody>
    </xdr:sp>
    <xdr:clientData/>
  </xdr:twoCellAnchor>
  <xdr:twoCellAnchor>
    <xdr:from>
      <xdr:col>1</xdr:col>
      <xdr:colOff>85724</xdr:colOff>
      <xdr:row>0</xdr:row>
      <xdr:rowOff>38100</xdr:rowOff>
    </xdr:from>
    <xdr:to>
      <xdr:col>3</xdr:col>
      <xdr:colOff>361949</xdr:colOff>
      <xdr:row>1</xdr:row>
      <xdr:rowOff>133350</xdr:rowOff>
    </xdr:to>
    <xdr:sp macro="[0]!refreshDepenseParMoisParType" textlink="">
      <xdr:nvSpPr>
        <xdr:cNvPr id="9" name="Rectangle 8"/>
        <xdr:cNvSpPr/>
      </xdr:nvSpPr>
      <xdr:spPr>
        <a:xfrm>
          <a:off x="1162049" y="38100"/>
          <a:ext cx="1800225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 Total/Mois/Type</a:t>
          </a:r>
          <a:endParaRPr lang="fr-FR" sz="1100" b="1" baseline="0"/>
        </a:p>
      </xdr:txBody>
    </xdr:sp>
    <xdr:clientData/>
  </xdr:twoCellAnchor>
  <xdr:twoCellAnchor>
    <xdr:from>
      <xdr:col>1</xdr:col>
      <xdr:colOff>514350</xdr:colOff>
      <xdr:row>2</xdr:row>
      <xdr:rowOff>9525</xdr:rowOff>
    </xdr:from>
    <xdr:to>
      <xdr:col>3</xdr:col>
      <xdr:colOff>361950</xdr:colOff>
      <xdr:row>3</xdr:row>
      <xdr:rowOff>104775</xdr:rowOff>
    </xdr:to>
    <xdr:sp macro="[0]!refreshEverything" textlink="">
      <xdr:nvSpPr>
        <xdr:cNvPr id="10" name="Rectangle 9"/>
        <xdr:cNvSpPr/>
      </xdr:nvSpPr>
      <xdr:spPr>
        <a:xfrm>
          <a:off x="1590675" y="390525"/>
          <a:ext cx="1371600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</a:t>
          </a:r>
          <a:r>
            <a:rPr lang="fr-FR" sz="1100" b="1" baseline="0"/>
            <a:t> TOUT</a:t>
          </a:r>
        </a:p>
      </xdr:txBody>
    </xdr:sp>
    <xdr:clientData/>
  </xdr:twoCellAnchor>
  <xdr:twoCellAnchor>
    <xdr:from>
      <xdr:col>5</xdr:col>
      <xdr:colOff>9525</xdr:colOff>
      <xdr:row>0</xdr:row>
      <xdr:rowOff>57150</xdr:rowOff>
    </xdr:from>
    <xdr:to>
      <xdr:col>7</xdr:col>
      <xdr:colOff>161925</xdr:colOff>
      <xdr:row>1</xdr:row>
      <xdr:rowOff>152400</xdr:rowOff>
    </xdr:to>
    <xdr:sp macro="[0]!generateAndResfreshGraphsBilan" textlink="">
      <xdr:nvSpPr>
        <xdr:cNvPr id="11" name="Rectangle 10"/>
        <xdr:cNvSpPr/>
      </xdr:nvSpPr>
      <xdr:spPr>
        <a:xfrm>
          <a:off x="4133850" y="57150"/>
          <a:ext cx="1676400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Créer/Actualiser Graphes</a:t>
          </a:r>
          <a:endParaRPr lang="fr-FR" sz="1100" b="1" baseline="0"/>
        </a:p>
      </xdr:txBody>
    </xdr:sp>
    <xdr:clientData/>
  </xdr:twoCellAnchor>
  <xdr:twoCellAnchor>
    <xdr:from>
      <xdr:col>5</xdr:col>
      <xdr:colOff>9525</xdr:colOff>
      <xdr:row>2</xdr:row>
      <xdr:rowOff>28575</xdr:rowOff>
    </xdr:from>
    <xdr:to>
      <xdr:col>7</xdr:col>
      <xdr:colOff>161925</xdr:colOff>
      <xdr:row>3</xdr:row>
      <xdr:rowOff>123825</xdr:rowOff>
    </xdr:to>
    <xdr:sp macro="[0]!deleteAllGraphsBilan" textlink="">
      <xdr:nvSpPr>
        <xdr:cNvPr id="12" name="Rectangle 11"/>
        <xdr:cNvSpPr/>
      </xdr:nvSpPr>
      <xdr:spPr>
        <a:xfrm>
          <a:off x="4133850" y="409575"/>
          <a:ext cx="1676400" cy="28575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Graphes</a:t>
          </a:r>
          <a:endParaRPr lang="fr-FR" sz="1100" b="1" baseline="0"/>
        </a:p>
      </xdr:txBody>
    </xdr:sp>
    <xdr:clientData/>
  </xdr:twoCellAnchor>
  <xdr:twoCellAnchor>
    <xdr:from>
      <xdr:col>7</xdr:col>
      <xdr:colOff>533400</xdr:colOff>
      <xdr:row>0</xdr:row>
      <xdr:rowOff>57149</xdr:rowOff>
    </xdr:from>
    <xdr:to>
      <xdr:col>9</xdr:col>
      <xdr:colOff>685800</xdr:colOff>
      <xdr:row>3</xdr:row>
      <xdr:rowOff>123824</xdr:rowOff>
    </xdr:to>
    <xdr:sp macro="[0]!generateEverything" textlink="">
      <xdr:nvSpPr>
        <xdr:cNvPr id="13" name="Rectangle 12"/>
        <xdr:cNvSpPr/>
      </xdr:nvSpPr>
      <xdr:spPr>
        <a:xfrm>
          <a:off x="6181725" y="57149"/>
          <a:ext cx="1676400" cy="638175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TOUT GÉNÉRER</a:t>
          </a:r>
          <a:endParaRPr lang="fr-FR" sz="1100" b="1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</xdr:row>
          <xdr:rowOff>9525</xdr:rowOff>
        </xdr:from>
        <xdr:to>
          <xdr:col>13</xdr:col>
          <xdr:colOff>666750</xdr:colOff>
          <xdr:row>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Mise en mémoire des types/sous-types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130175</xdr:colOff>
      <xdr:row>4</xdr:row>
      <xdr:rowOff>0</xdr:rowOff>
    </xdr:from>
    <xdr:to>
      <xdr:col>10</xdr:col>
      <xdr:colOff>384175</xdr:colOff>
      <xdr:row>22</xdr:row>
      <xdr:rowOff>0</xdr:rowOff>
    </xdr:to>
    <xdr:graphicFrame macro="">
      <xdr:nvGraphicFramePr>
        <xdr:cNvPr id="5141" name="Graphique 5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9</xdr:col>
      <xdr:colOff>130175</xdr:colOff>
      <xdr:row>40</xdr:row>
      <xdr:rowOff>127000</xdr:rowOff>
    </xdr:to>
    <xdr:graphicFrame macro="">
      <xdr:nvGraphicFramePr>
        <xdr:cNvPr id="5142" name="Graphique 5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384175</xdr:colOff>
      <xdr:row>4</xdr:row>
      <xdr:rowOff>0</xdr:rowOff>
    </xdr:from>
    <xdr:to>
      <xdr:col>18</xdr:col>
      <xdr:colOff>638175</xdr:colOff>
      <xdr:row>22</xdr:row>
      <xdr:rowOff>0</xdr:rowOff>
    </xdr:to>
    <xdr:graphicFrame macro="">
      <xdr:nvGraphicFramePr>
        <xdr:cNvPr id="5143" name="Graphique 5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130175</xdr:colOff>
      <xdr:row>23</xdr:row>
      <xdr:rowOff>0</xdr:rowOff>
    </xdr:from>
    <xdr:to>
      <xdr:col>18</xdr:col>
      <xdr:colOff>574675</xdr:colOff>
      <xdr:row>40</xdr:row>
      <xdr:rowOff>127000</xdr:rowOff>
    </xdr:to>
    <xdr:graphicFrame macro="">
      <xdr:nvGraphicFramePr>
        <xdr:cNvPr id="5144" name="Graphique 5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54</xdr:row>
      <xdr:rowOff>0</xdr:rowOff>
    </xdr:from>
    <xdr:to>
      <xdr:col>18</xdr:col>
      <xdr:colOff>574675</xdr:colOff>
      <xdr:row>87</xdr:row>
      <xdr:rowOff>63500</xdr:rowOff>
    </xdr:to>
    <xdr:graphicFrame macro="">
      <xdr:nvGraphicFramePr>
        <xdr:cNvPr id="5145" name="Graphique 5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87</xdr:row>
      <xdr:rowOff>63500</xdr:rowOff>
    </xdr:from>
    <xdr:to>
      <xdr:col>18</xdr:col>
      <xdr:colOff>574675</xdr:colOff>
      <xdr:row>120</xdr:row>
      <xdr:rowOff>127000</xdr:rowOff>
    </xdr:to>
    <xdr:graphicFrame macro="">
      <xdr:nvGraphicFramePr>
        <xdr:cNvPr id="5146" name="Graphique 5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92D050"/>
  </sheetPr>
  <dimension ref="A1:K20"/>
  <sheetViews>
    <sheetView tabSelected="1" workbookViewId="0">
      <selection activeCell="E5" sqref="E5"/>
    </sheetView>
  </sheetViews>
  <sheetFormatPr baseColWidth="10" defaultRowHeight="15" x14ac:dyDescent="0.25"/>
  <cols>
    <col min="1" max="1" width="27" customWidth="1"/>
    <col min="2" max="2" width="66.140625" customWidth="1"/>
    <col min="5" max="5" width="16.42578125" customWidth="1"/>
    <col min="6" max="6" width="15.5703125" customWidth="1"/>
    <col min="7" max="7" width="14.7109375" customWidth="1"/>
    <col min="8" max="8" width="15.42578125" customWidth="1"/>
    <col min="9" max="9" width="14.5703125" customWidth="1"/>
    <col min="10" max="10" width="16.5703125" customWidth="1"/>
  </cols>
  <sheetData>
    <row r="1" spans="1:11" x14ac:dyDescent="0.25">
      <c r="A1" s="1" t="s">
        <v>0</v>
      </c>
      <c r="B1" s="1" t="s">
        <v>1</v>
      </c>
    </row>
    <row r="2" spans="1:11" ht="27.75" customHeight="1" x14ac:dyDescent="0.25">
      <c r="A2" s="2" t="s">
        <v>2</v>
      </c>
      <c r="B2" s="4" t="s">
        <v>14</v>
      </c>
      <c r="D2" s="10" t="b">
        <v>0</v>
      </c>
    </row>
    <row r="3" spans="1:11" x14ac:dyDescent="0.25">
      <c r="A3" s="2" t="s">
        <v>13</v>
      </c>
      <c r="B3" s="4" t="s">
        <v>108</v>
      </c>
    </row>
    <row r="4" spans="1:11" ht="27.75" customHeight="1" x14ac:dyDescent="0.25">
      <c r="A4" s="2" t="s">
        <v>103</v>
      </c>
      <c r="B4" s="4" t="s">
        <v>3</v>
      </c>
    </row>
    <row r="5" spans="1:11" ht="30.75" customHeight="1" x14ac:dyDescent="0.25">
      <c r="A5" s="3" t="s">
        <v>4</v>
      </c>
      <c r="B5" s="5" t="s">
        <v>5</v>
      </c>
    </row>
    <row r="7" spans="1:11" x14ac:dyDescent="0.25">
      <c r="A7" s="71" t="s">
        <v>2</v>
      </c>
      <c r="B7" s="71"/>
      <c r="E7" s="69" t="s">
        <v>113</v>
      </c>
      <c r="F7" s="69"/>
      <c r="G7" s="69"/>
      <c r="H7" s="69"/>
      <c r="I7" s="69"/>
      <c r="J7" s="69"/>
      <c r="K7" s="68"/>
    </row>
    <row r="8" spans="1:11" s="9" customFormat="1" ht="30" x14ac:dyDescent="0.25">
      <c r="A8" s="12" t="s">
        <v>15</v>
      </c>
      <c r="B8" s="11" t="s">
        <v>19</v>
      </c>
      <c r="E8" s="70" t="s">
        <v>114</v>
      </c>
      <c r="F8" s="70"/>
      <c r="G8" s="70" t="s">
        <v>115</v>
      </c>
      <c r="H8" s="70"/>
      <c r="I8" s="70"/>
      <c r="J8" s="70"/>
      <c r="K8" s="68"/>
    </row>
    <row r="9" spans="1:11" s="9" customFormat="1" ht="30" x14ac:dyDescent="0.25">
      <c r="A9" s="12" t="s">
        <v>16</v>
      </c>
      <c r="B9" s="11" t="s">
        <v>17</v>
      </c>
      <c r="E9" s="70" t="s">
        <v>116</v>
      </c>
      <c r="F9" s="70"/>
      <c r="G9" s="70" t="s">
        <v>117</v>
      </c>
      <c r="H9" s="70"/>
      <c r="I9" s="70"/>
      <c r="J9" s="70"/>
      <c r="K9" s="68"/>
    </row>
    <row r="10" spans="1:11" ht="45" x14ac:dyDescent="0.25">
      <c r="A10" s="13" t="s">
        <v>18</v>
      </c>
      <c r="B10" s="5" t="s">
        <v>90</v>
      </c>
      <c r="E10" s="72"/>
      <c r="F10" s="72"/>
      <c r="G10" s="72"/>
      <c r="H10" s="72"/>
      <c r="I10" s="72"/>
      <c r="J10" s="72"/>
      <c r="K10" s="68"/>
    </row>
    <row r="12" spans="1:11" x14ac:dyDescent="0.25">
      <c r="A12" s="71" t="s">
        <v>13</v>
      </c>
      <c r="B12" s="71"/>
    </row>
    <row r="13" spans="1:11" ht="60" x14ac:dyDescent="0.25">
      <c r="A13" s="12" t="s">
        <v>15</v>
      </c>
      <c r="B13" s="11" t="s">
        <v>118</v>
      </c>
    </row>
    <row r="14" spans="1:11" ht="75" x14ac:dyDescent="0.25">
      <c r="A14" s="12" t="s">
        <v>16</v>
      </c>
      <c r="B14" s="11" t="s">
        <v>110</v>
      </c>
    </row>
    <row r="15" spans="1:11" ht="30" x14ac:dyDescent="0.25">
      <c r="A15" s="13" t="s">
        <v>18</v>
      </c>
      <c r="B15" s="5" t="s">
        <v>109</v>
      </c>
    </row>
    <row r="17" spans="1:2" x14ac:dyDescent="0.25">
      <c r="A17" s="71" t="s">
        <v>103</v>
      </c>
      <c r="B17" s="71"/>
    </row>
    <row r="18" spans="1:2" ht="30" x14ac:dyDescent="0.25">
      <c r="A18" s="12" t="s">
        <v>15</v>
      </c>
      <c r="B18" s="11" t="s">
        <v>119</v>
      </c>
    </row>
    <row r="19" spans="1:2" ht="30" x14ac:dyDescent="0.25">
      <c r="A19" s="12" t="s">
        <v>16</v>
      </c>
      <c r="B19" s="11" t="s">
        <v>111</v>
      </c>
    </row>
    <row r="20" spans="1:2" ht="30" x14ac:dyDescent="0.25">
      <c r="A20" s="13" t="s">
        <v>18</v>
      </c>
      <c r="B20" s="5" t="s">
        <v>112</v>
      </c>
    </row>
  </sheetData>
  <mergeCells count="8">
    <mergeCell ref="E7:J7"/>
    <mergeCell ref="G8:J8"/>
    <mergeCell ref="G9:J9"/>
    <mergeCell ref="E8:F8"/>
    <mergeCell ref="E9:F9"/>
    <mergeCell ref="A7:B7"/>
    <mergeCell ref="A12:B12"/>
    <mergeCell ref="A17:B17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49" r:id="rId4" name="checkbox_sonOk">
          <controlPr defaultSize="0" autoLine="0" r:id="rId5">
            <anchor moveWithCells="1">
              <from>
                <xdr:col>2</xdr:col>
                <xdr:colOff>628650</xdr:colOff>
                <xdr:row>1</xdr:row>
                <xdr:rowOff>19050</xdr:rowOff>
              </from>
              <to>
                <xdr:col>4</xdr:col>
                <xdr:colOff>352425</xdr:colOff>
                <xdr:row>1</xdr:row>
                <xdr:rowOff>333375</xdr:rowOff>
              </to>
            </anchor>
          </controlPr>
        </control>
      </mc:Choice>
      <mc:Fallback>
        <control shapeId="2049" r:id="rId4" name="checkbox_son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70C0"/>
  </sheetPr>
  <dimension ref="A1:G27"/>
  <sheetViews>
    <sheetView zoomScaleNormal="100" workbookViewId="0">
      <selection activeCell="A15" sqref="A15"/>
    </sheetView>
  </sheetViews>
  <sheetFormatPr baseColWidth="10" defaultRowHeight="15" x14ac:dyDescent="0.25"/>
  <cols>
    <col min="1" max="1" width="21.5703125" customWidth="1"/>
    <col min="2" max="2" width="12.5703125" customWidth="1"/>
    <col min="3" max="3" width="35.85546875" customWidth="1"/>
    <col min="4" max="4" width="7.140625" customWidth="1"/>
    <col min="5" max="5" width="7.28515625" customWidth="1"/>
    <col min="6" max="6" width="47" customWidth="1"/>
    <col min="7" max="7" width="33" customWidth="1"/>
  </cols>
  <sheetData>
    <row r="1" spans="1:7" ht="26.25" customHeight="1" x14ac:dyDescent="0.25"/>
    <row r="2" spans="1:7" ht="20.25" customHeight="1" x14ac:dyDescent="0.25"/>
    <row r="3" spans="1:7" ht="19.5" customHeight="1" x14ac:dyDescent="0.25"/>
    <row r="6" spans="1:7" x14ac:dyDescent="0.25">
      <c r="A6" s="64" t="s">
        <v>10</v>
      </c>
      <c r="B6" s="64"/>
      <c r="C6" s="64"/>
      <c r="F6" s="65" t="s">
        <v>11</v>
      </c>
      <c r="G6" s="66"/>
    </row>
    <row r="7" spans="1:7" x14ac:dyDescent="0.25">
      <c r="A7" s="6" t="s">
        <v>6</v>
      </c>
      <c r="B7" s="7" t="s">
        <v>12</v>
      </c>
      <c r="C7" s="7" t="s">
        <v>7</v>
      </c>
      <c r="F7" s="8" t="s">
        <v>8</v>
      </c>
      <c r="G7" s="6" t="s">
        <v>9</v>
      </c>
    </row>
    <row r="8" spans="1:7" x14ac:dyDescent="0.25">
      <c r="A8" s="15" t="s">
        <v>25</v>
      </c>
      <c r="B8" s="16">
        <v>33</v>
      </c>
      <c r="C8" s="15" t="s">
        <v>56</v>
      </c>
      <c r="D8" s="9"/>
      <c r="E8" s="9"/>
      <c r="F8" s="15" t="s">
        <v>26</v>
      </c>
      <c r="G8" s="15" t="s">
        <v>25</v>
      </c>
    </row>
    <row r="9" spans="1:7" x14ac:dyDescent="0.25">
      <c r="A9" s="15" t="s">
        <v>28</v>
      </c>
      <c r="B9" s="17">
        <v>43</v>
      </c>
      <c r="C9" s="15" t="s">
        <v>60</v>
      </c>
      <c r="D9" s="9"/>
      <c r="E9" s="9"/>
      <c r="F9" s="15" t="s">
        <v>27</v>
      </c>
      <c r="G9" s="15" t="s">
        <v>25</v>
      </c>
    </row>
    <row r="10" spans="1:7" x14ac:dyDescent="0.25">
      <c r="A10" s="15" t="s">
        <v>40</v>
      </c>
      <c r="B10" s="23">
        <v>7</v>
      </c>
      <c r="C10" s="15" t="s">
        <v>42</v>
      </c>
      <c r="D10" s="19"/>
      <c r="E10" s="19"/>
      <c r="F10" s="15" t="s">
        <v>57</v>
      </c>
      <c r="G10" s="15" t="s">
        <v>25</v>
      </c>
    </row>
    <row r="11" spans="1:7" x14ac:dyDescent="0.25">
      <c r="A11" s="15" t="s">
        <v>48</v>
      </c>
      <c r="B11" s="18">
        <v>3</v>
      </c>
      <c r="C11" s="15" t="s">
        <v>51</v>
      </c>
      <c r="D11" s="9"/>
      <c r="E11" s="9"/>
      <c r="F11" s="15" t="s">
        <v>29</v>
      </c>
      <c r="G11" s="15" t="s">
        <v>28</v>
      </c>
    </row>
    <row r="12" spans="1:7" x14ac:dyDescent="0.25">
      <c r="A12" s="15" t="s">
        <v>64</v>
      </c>
      <c r="B12" s="33">
        <v>27</v>
      </c>
      <c r="C12" s="15" t="s">
        <v>79</v>
      </c>
      <c r="F12" s="15" t="s">
        <v>30</v>
      </c>
      <c r="G12" s="15" t="s">
        <v>28</v>
      </c>
    </row>
    <row r="13" spans="1:7" ht="30" x14ac:dyDescent="0.25">
      <c r="A13" s="15" t="s">
        <v>66</v>
      </c>
      <c r="B13" s="37">
        <v>37</v>
      </c>
      <c r="C13" s="15" t="s">
        <v>71</v>
      </c>
      <c r="F13" s="15" t="s">
        <v>31</v>
      </c>
      <c r="G13" s="15" t="s">
        <v>28</v>
      </c>
    </row>
    <row r="14" spans="1:7" x14ac:dyDescent="0.25">
      <c r="A14" s="15" t="s">
        <v>84</v>
      </c>
      <c r="B14" s="46">
        <v>45</v>
      </c>
      <c r="C14" s="15" t="s">
        <v>86</v>
      </c>
      <c r="F14" s="15" t="s">
        <v>61</v>
      </c>
      <c r="G14" s="15" t="s">
        <v>28</v>
      </c>
    </row>
    <row r="15" spans="1:7" x14ac:dyDescent="0.25">
      <c r="A15" s="9"/>
      <c r="B15" s="9"/>
      <c r="C15" s="9"/>
      <c r="F15" s="15" t="s">
        <v>41</v>
      </c>
      <c r="G15" s="15" t="s">
        <v>40</v>
      </c>
    </row>
    <row r="16" spans="1:7" x14ac:dyDescent="0.25">
      <c r="A16" s="9"/>
      <c r="B16" s="9"/>
      <c r="C16" s="9"/>
      <c r="F16" s="15" t="s">
        <v>43</v>
      </c>
      <c r="G16" s="15" t="s">
        <v>40</v>
      </c>
    </row>
    <row r="17" spans="1:7" x14ac:dyDescent="0.25">
      <c r="A17" s="9"/>
      <c r="B17" s="9"/>
      <c r="C17" s="9"/>
      <c r="F17" s="15" t="s">
        <v>49</v>
      </c>
      <c r="G17" s="15" t="s">
        <v>48</v>
      </c>
    </row>
    <row r="18" spans="1:7" x14ac:dyDescent="0.25">
      <c r="A18" s="9"/>
      <c r="B18" s="9"/>
      <c r="C18" s="9"/>
      <c r="F18" s="15" t="s">
        <v>50</v>
      </c>
      <c r="G18" s="15" t="s">
        <v>48</v>
      </c>
    </row>
    <row r="19" spans="1:7" x14ac:dyDescent="0.25">
      <c r="A19" s="9"/>
      <c r="B19" s="9"/>
      <c r="C19" s="9"/>
      <c r="F19" s="15" t="s">
        <v>52</v>
      </c>
      <c r="G19" s="15" t="s">
        <v>48</v>
      </c>
    </row>
    <row r="20" spans="1:7" x14ac:dyDescent="0.25">
      <c r="A20" s="9"/>
      <c r="B20" s="9"/>
      <c r="C20" s="9"/>
      <c r="F20" s="15" t="s">
        <v>67</v>
      </c>
      <c r="G20" s="15" t="s">
        <v>64</v>
      </c>
    </row>
    <row r="21" spans="1:7" x14ac:dyDescent="0.25">
      <c r="A21" s="9"/>
      <c r="B21" s="9"/>
      <c r="C21" s="9"/>
      <c r="F21" s="15" t="s">
        <v>80</v>
      </c>
      <c r="G21" s="15" t="s">
        <v>64</v>
      </c>
    </row>
    <row r="22" spans="1:7" x14ac:dyDescent="0.25">
      <c r="A22" s="9"/>
      <c r="B22" s="9"/>
      <c r="C22" s="9"/>
      <c r="F22" s="15" t="s">
        <v>68</v>
      </c>
      <c r="G22" s="15" t="s">
        <v>66</v>
      </c>
    </row>
    <row r="23" spans="1:7" x14ac:dyDescent="0.25">
      <c r="A23" s="9"/>
      <c r="B23" s="9"/>
      <c r="C23" s="9"/>
      <c r="F23" s="15" t="s">
        <v>70</v>
      </c>
      <c r="G23" s="15" t="s">
        <v>66</v>
      </c>
    </row>
    <row r="24" spans="1:7" x14ac:dyDescent="0.25">
      <c r="A24" s="9"/>
      <c r="B24" s="9"/>
      <c r="C24" s="9"/>
      <c r="F24" s="15" t="s">
        <v>72</v>
      </c>
      <c r="G24" s="15" t="s">
        <v>66</v>
      </c>
    </row>
    <row r="25" spans="1:7" x14ac:dyDescent="0.25">
      <c r="A25" s="9"/>
      <c r="B25" s="9"/>
      <c r="C25" s="9"/>
      <c r="F25" s="15" t="s">
        <v>85</v>
      </c>
      <c r="G25" s="15" t="s">
        <v>84</v>
      </c>
    </row>
    <row r="26" spans="1:7" x14ac:dyDescent="0.25">
      <c r="A26" s="9"/>
      <c r="B26" s="9"/>
      <c r="C26" s="9"/>
      <c r="F26" s="15" t="s">
        <v>87</v>
      </c>
      <c r="G26" s="15" t="s">
        <v>84</v>
      </c>
    </row>
    <row r="27" spans="1:7" x14ac:dyDescent="0.25">
      <c r="A27" s="9"/>
      <c r="B27" s="9"/>
      <c r="C27" s="9"/>
    </row>
  </sheetData>
  <mergeCells count="2">
    <mergeCell ref="A6:C6"/>
    <mergeCell ref="F6:G6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ThisWorkbook.initTypesSousTypes">
                <anchor moveWithCells="1" sizeWithCells="1">
                  <from>
                    <xdr:col>0</xdr:col>
                    <xdr:colOff>19050</xdr:colOff>
                    <xdr:row>0</xdr:row>
                    <xdr:rowOff>142875</xdr:rowOff>
                  </from>
                  <to>
                    <xdr:col>2</xdr:col>
                    <xdr:colOff>95250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70C0"/>
  </sheetPr>
  <dimension ref="A1:AA41"/>
  <sheetViews>
    <sheetView topLeftCell="A16" zoomScaleNormal="100" workbookViewId="0">
      <selection activeCell="J13" sqref="J13"/>
    </sheetView>
  </sheetViews>
  <sheetFormatPr baseColWidth="10" defaultRowHeight="15" x14ac:dyDescent="0.25"/>
  <cols>
    <col min="1" max="1" width="22" customWidth="1"/>
    <col min="2" max="2" width="19" style="59" customWidth="1"/>
    <col min="3" max="3" width="17.140625" customWidth="1"/>
    <col min="4" max="4" width="18" customWidth="1"/>
    <col min="5" max="5" width="17.85546875" customWidth="1"/>
    <col min="6" max="6" width="15.28515625" customWidth="1"/>
    <col min="7" max="8" width="11.42578125" hidden="1" customWidth="1"/>
  </cols>
  <sheetData>
    <row r="1" spans="1:27" x14ac:dyDescent="0.25">
      <c r="B1"/>
    </row>
    <row r="2" spans="1:27" x14ac:dyDescent="0.25">
      <c r="B2"/>
    </row>
    <row r="3" spans="1:27" x14ac:dyDescent="0.25">
      <c r="A3" s="28"/>
      <c r="B3" s="28"/>
      <c r="C3" s="28"/>
      <c r="D3" s="28"/>
      <c r="E3" s="28"/>
      <c r="F3" s="28"/>
    </row>
    <row r="4" spans="1:27" x14ac:dyDescent="0.25">
      <c r="A4" s="27"/>
      <c r="B4" s="27"/>
      <c r="C4" s="27"/>
      <c r="D4" s="27"/>
      <c r="E4" s="27"/>
      <c r="F4" s="27"/>
    </row>
    <row r="5" spans="1:27" x14ac:dyDescent="0.25">
      <c r="B5"/>
      <c r="L5" s="43"/>
      <c r="M5" s="43"/>
      <c r="N5" s="43"/>
      <c r="O5" s="43"/>
    </row>
    <row r="6" spans="1:27" x14ac:dyDescent="0.25">
      <c r="B6"/>
      <c r="J6" s="43"/>
      <c r="K6" s="43"/>
      <c r="L6" s="43"/>
      <c r="M6" s="43"/>
      <c r="N6" s="43"/>
      <c r="O6" s="43"/>
    </row>
    <row r="7" spans="1:27" x14ac:dyDescent="0.25">
      <c r="B7"/>
      <c r="J7" s="43"/>
      <c r="K7" s="43"/>
      <c r="L7" s="43"/>
      <c r="M7" s="43"/>
      <c r="N7" s="43"/>
      <c r="O7" s="43"/>
    </row>
    <row r="8" spans="1:27" x14ac:dyDescent="0.25">
      <c r="A8" s="65" t="s">
        <v>20</v>
      </c>
      <c r="B8" s="67"/>
      <c r="C8" s="67"/>
      <c r="D8" s="67"/>
      <c r="E8" s="67"/>
      <c r="F8" s="66"/>
      <c r="G8" s="14"/>
      <c r="J8" s="43"/>
      <c r="K8" s="43"/>
      <c r="L8" s="43"/>
      <c r="M8" s="43"/>
      <c r="N8" s="43"/>
      <c r="O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21" t="s">
        <v>21</v>
      </c>
      <c r="B9" s="21" t="s">
        <v>24</v>
      </c>
      <c r="C9" s="21" t="s">
        <v>6</v>
      </c>
      <c r="D9" s="21" t="s">
        <v>23</v>
      </c>
      <c r="E9" s="21" t="s">
        <v>58</v>
      </c>
      <c r="F9" s="21" t="s">
        <v>22</v>
      </c>
      <c r="G9" s="7" t="s">
        <v>69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5" t="s">
        <v>59</v>
      </c>
      <c r="B10" s="29">
        <v>42282</v>
      </c>
      <c r="C10" s="26" t="s">
        <v>28</v>
      </c>
      <c r="D10" s="15" t="s">
        <v>30</v>
      </c>
      <c r="E10" s="18" t="s">
        <v>33</v>
      </c>
      <c r="F10" s="15">
        <v>-12</v>
      </c>
      <c r="G10" s="41">
        <v>42282</v>
      </c>
      <c r="H10" s="32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5" t="s">
        <v>62</v>
      </c>
      <c r="B11" s="29" t="s">
        <v>63</v>
      </c>
      <c r="C11" s="26" t="s">
        <v>28</v>
      </c>
      <c r="D11" s="15" t="s">
        <v>61</v>
      </c>
      <c r="E11" s="18" t="s">
        <v>33</v>
      </c>
      <c r="F11" s="15">
        <v>-5.24</v>
      </c>
      <c r="G11" s="40">
        <v>42303</v>
      </c>
      <c r="H11" s="32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ht="33" customHeight="1" x14ac:dyDescent="0.25">
      <c r="A12" s="15" t="s">
        <v>81</v>
      </c>
      <c r="B12" s="44">
        <v>42224</v>
      </c>
      <c r="C12" s="34" t="s">
        <v>64</v>
      </c>
      <c r="D12" s="15" t="s">
        <v>80</v>
      </c>
      <c r="E12" s="18" t="s">
        <v>33</v>
      </c>
      <c r="F12" s="15">
        <v>-14</v>
      </c>
      <c r="G12" s="41">
        <v>42224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5" t="s">
        <v>82</v>
      </c>
      <c r="B13" s="44">
        <v>42230</v>
      </c>
      <c r="C13" s="34" t="s">
        <v>64</v>
      </c>
      <c r="D13" s="15" t="s">
        <v>80</v>
      </c>
      <c r="E13" s="18" t="s">
        <v>33</v>
      </c>
      <c r="F13" s="15">
        <v>-7</v>
      </c>
      <c r="G13" s="41">
        <v>42230</v>
      </c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5" t="s">
        <v>65</v>
      </c>
      <c r="B14" s="31">
        <v>42315</v>
      </c>
      <c r="C14" s="34" t="s">
        <v>64</v>
      </c>
      <c r="D14" s="15" t="s">
        <v>67</v>
      </c>
      <c r="E14" s="18" t="s">
        <v>33</v>
      </c>
      <c r="F14" s="15">
        <v>-12</v>
      </c>
      <c r="G14" s="40">
        <v>42315</v>
      </c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5" t="s">
        <v>91</v>
      </c>
      <c r="B15" s="31">
        <v>42323</v>
      </c>
      <c r="C15" s="34" t="s">
        <v>64</v>
      </c>
      <c r="D15" s="15" t="s">
        <v>67</v>
      </c>
      <c r="E15" s="18" t="s">
        <v>33</v>
      </c>
      <c r="F15" s="15">
        <v>-14</v>
      </c>
      <c r="G15" s="41">
        <v>42323</v>
      </c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5">
      <c r="A16" s="15" t="s">
        <v>37</v>
      </c>
      <c r="B16" s="30" t="s">
        <v>38</v>
      </c>
      <c r="C16" s="22" t="s">
        <v>25</v>
      </c>
      <c r="D16" s="15" t="s">
        <v>26</v>
      </c>
      <c r="E16" s="18" t="s">
        <v>33</v>
      </c>
      <c r="F16" s="15">
        <v>-700</v>
      </c>
      <c r="G16" s="40">
        <v>42274</v>
      </c>
    </row>
    <row r="17" spans="1:7" x14ac:dyDescent="0.25">
      <c r="A17" s="15" t="s">
        <v>34</v>
      </c>
      <c r="B17" s="29" t="s">
        <v>32</v>
      </c>
      <c r="C17" s="22" t="s">
        <v>25</v>
      </c>
      <c r="D17" s="15" t="s">
        <v>27</v>
      </c>
      <c r="E17" s="18" t="s">
        <v>33</v>
      </c>
      <c r="F17" s="15">
        <v>-20</v>
      </c>
      <c r="G17" s="40">
        <v>42304</v>
      </c>
    </row>
    <row r="18" spans="1:7" ht="30" x14ac:dyDescent="0.25">
      <c r="A18" s="15" t="s">
        <v>36</v>
      </c>
      <c r="B18" s="29" t="s">
        <v>32</v>
      </c>
      <c r="C18" s="22" t="s">
        <v>25</v>
      </c>
      <c r="D18" s="15" t="s">
        <v>27</v>
      </c>
      <c r="E18" s="20" t="s">
        <v>35</v>
      </c>
      <c r="F18" s="15">
        <v>17.3</v>
      </c>
      <c r="G18" s="40">
        <v>42304</v>
      </c>
    </row>
    <row r="19" spans="1:7" x14ac:dyDescent="0.25">
      <c r="A19" s="15" t="s">
        <v>76</v>
      </c>
      <c r="B19" s="29" t="s">
        <v>32</v>
      </c>
      <c r="C19" s="22" t="s">
        <v>25</v>
      </c>
      <c r="D19" s="15" t="s">
        <v>26</v>
      </c>
      <c r="E19" s="18" t="s">
        <v>33</v>
      </c>
      <c r="F19" s="15">
        <v>-12</v>
      </c>
      <c r="G19" s="40">
        <v>42304</v>
      </c>
    </row>
    <row r="20" spans="1:7" x14ac:dyDescent="0.25">
      <c r="A20" s="15" t="s">
        <v>77</v>
      </c>
      <c r="B20" s="29">
        <v>42308</v>
      </c>
      <c r="C20" s="22" t="s">
        <v>25</v>
      </c>
      <c r="D20" s="15" t="s">
        <v>57</v>
      </c>
      <c r="E20" s="18" t="s">
        <v>33</v>
      </c>
      <c r="F20" s="15">
        <v>-40</v>
      </c>
      <c r="G20" s="41">
        <v>42308</v>
      </c>
    </row>
    <row r="21" spans="1:7" x14ac:dyDescent="0.25">
      <c r="A21" s="35" t="s">
        <v>39</v>
      </c>
      <c r="B21" s="31">
        <v>42311</v>
      </c>
      <c r="C21" s="42" t="s">
        <v>25</v>
      </c>
      <c r="D21" s="35" t="s">
        <v>26</v>
      </c>
      <c r="E21" s="48" t="s">
        <v>33</v>
      </c>
      <c r="F21" s="15">
        <v>-700</v>
      </c>
      <c r="G21" s="40">
        <v>42311</v>
      </c>
    </row>
    <row r="22" spans="1:7" ht="30" x14ac:dyDescent="0.25">
      <c r="A22" s="15" t="s">
        <v>78</v>
      </c>
      <c r="B22" s="31">
        <v>42320</v>
      </c>
      <c r="C22" s="22" t="s">
        <v>25</v>
      </c>
      <c r="D22" s="15" t="s">
        <v>57</v>
      </c>
      <c r="E22" s="20" t="s">
        <v>35</v>
      </c>
      <c r="F22" s="15">
        <v>20</v>
      </c>
      <c r="G22" s="41">
        <v>42320</v>
      </c>
    </row>
    <row r="23" spans="1:7" x14ac:dyDescent="0.25">
      <c r="A23" s="15" t="s">
        <v>47</v>
      </c>
      <c r="B23" s="29">
        <v>42286</v>
      </c>
      <c r="C23" s="24" t="s">
        <v>40</v>
      </c>
      <c r="D23" s="15" t="s">
        <v>41</v>
      </c>
      <c r="E23" s="20" t="s">
        <v>35</v>
      </c>
      <c r="F23" s="15">
        <v>250</v>
      </c>
      <c r="G23" s="41">
        <v>42286</v>
      </c>
    </row>
    <row r="24" spans="1:7" x14ac:dyDescent="0.25">
      <c r="A24" s="15" t="s">
        <v>44</v>
      </c>
      <c r="B24" s="29" t="s">
        <v>45</v>
      </c>
      <c r="C24" s="24" t="s">
        <v>40</v>
      </c>
      <c r="D24" s="15" t="s">
        <v>43</v>
      </c>
      <c r="E24" s="20" t="s">
        <v>35</v>
      </c>
      <c r="F24" s="15" t="s">
        <v>46</v>
      </c>
      <c r="G24" s="36">
        <v>42308</v>
      </c>
    </row>
    <row r="25" spans="1:7" x14ac:dyDescent="0.25">
      <c r="A25" s="15" t="s">
        <v>73</v>
      </c>
      <c r="B25" s="31">
        <v>42311</v>
      </c>
      <c r="C25" s="38" t="s">
        <v>66</v>
      </c>
      <c r="D25" s="15" t="s">
        <v>68</v>
      </c>
      <c r="E25" s="18" t="s">
        <v>33</v>
      </c>
      <c r="F25" s="15">
        <v>-26</v>
      </c>
      <c r="G25" s="45">
        <v>42311</v>
      </c>
    </row>
    <row r="26" spans="1:7" ht="30" x14ac:dyDescent="0.25">
      <c r="A26" s="15" t="s">
        <v>74</v>
      </c>
      <c r="B26" s="31">
        <v>42311</v>
      </c>
      <c r="C26" s="38" t="s">
        <v>66</v>
      </c>
      <c r="D26" s="15" t="s">
        <v>72</v>
      </c>
      <c r="E26" s="20" t="s">
        <v>35</v>
      </c>
      <c r="F26" s="15" t="s">
        <v>75</v>
      </c>
      <c r="G26" s="39">
        <v>42311</v>
      </c>
    </row>
    <row r="27" spans="1:7" ht="30" x14ac:dyDescent="0.25">
      <c r="A27" s="15" t="s">
        <v>83</v>
      </c>
      <c r="B27" s="31">
        <v>42314</v>
      </c>
      <c r="C27" s="38" t="s">
        <v>66</v>
      </c>
      <c r="D27" s="15" t="s">
        <v>72</v>
      </c>
      <c r="E27" s="20" t="s">
        <v>35</v>
      </c>
      <c r="F27" s="15">
        <v>7</v>
      </c>
      <c r="G27">
        <v>42314</v>
      </c>
    </row>
    <row r="28" spans="1:7" x14ac:dyDescent="0.25">
      <c r="A28" s="15" t="s">
        <v>88</v>
      </c>
      <c r="B28" s="31">
        <v>42321</v>
      </c>
      <c r="C28" s="47" t="s">
        <v>84</v>
      </c>
      <c r="D28" s="15" t="s">
        <v>85</v>
      </c>
      <c r="E28" s="18" t="s">
        <v>33</v>
      </c>
      <c r="F28" s="15">
        <v>-14.8</v>
      </c>
      <c r="G28">
        <v>42321</v>
      </c>
    </row>
    <row r="29" spans="1:7" x14ac:dyDescent="0.25">
      <c r="A29" s="15" t="s">
        <v>89</v>
      </c>
      <c r="B29" s="31">
        <v>42321</v>
      </c>
      <c r="C29" s="47" t="s">
        <v>84</v>
      </c>
      <c r="D29" s="15" t="s">
        <v>87</v>
      </c>
      <c r="E29" s="18" t="s">
        <v>33</v>
      </c>
      <c r="F29" s="15">
        <v>-13.5</v>
      </c>
      <c r="G29">
        <v>42321</v>
      </c>
    </row>
    <row r="30" spans="1:7" x14ac:dyDescent="0.25">
      <c r="A30" s="15" t="s">
        <v>54</v>
      </c>
      <c r="B30" s="30" t="s">
        <v>55</v>
      </c>
      <c r="C30" s="25" t="s">
        <v>48</v>
      </c>
      <c r="D30" s="15" t="s">
        <v>49</v>
      </c>
      <c r="E30" s="18" t="s">
        <v>33</v>
      </c>
      <c r="F30" s="15">
        <v>-15</v>
      </c>
      <c r="G30" s="36">
        <v>42262</v>
      </c>
    </row>
    <row r="31" spans="1:7" x14ac:dyDescent="0.25">
      <c r="A31" s="15" t="s">
        <v>53</v>
      </c>
      <c r="B31" s="29" t="s">
        <v>32</v>
      </c>
      <c r="C31" s="25" t="s">
        <v>48</v>
      </c>
      <c r="D31" s="15" t="s">
        <v>49</v>
      </c>
      <c r="E31" s="18" t="s">
        <v>33</v>
      </c>
      <c r="F31" s="15">
        <v>-20</v>
      </c>
      <c r="G31" s="36">
        <v>42304</v>
      </c>
    </row>
    <row r="32" spans="1:7" x14ac:dyDescent="0.25">
      <c r="A32" s="19"/>
      <c r="B32" s="58"/>
      <c r="C32" s="19"/>
      <c r="D32" s="19"/>
      <c r="E32" s="19"/>
      <c r="F32" s="19"/>
    </row>
    <row r="33" spans="1:6" x14ac:dyDescent="0.25">
      <c r="A33" s="19"/>
      <c r="B33" s="58"/>
      <c r="C33" s="19"/>
      <c r="D33" s="19"/>
      <c r="E33" s="19"/>
      <c r="F33" s="19"/>
    </row>
    <row r="34" spans="1:6" x14ac:dyDescent="0.25">
      <c r="A34" s="19"/>
      <c r="B34" s="58"/>
      <c r="C34" s="19"/>
      <c r="D34" s="19"/>
      <c r="E34" s="19"/>
      <c r="F34" s="19"/>
    </row>
    <row r="35" spans="1:6" x14ac:dyDescent="0.25">
      <c r="A35" s="19"/>
      <c r="B35" s="58"/>
      <c r="C35" s="19"/>
      <c r="D35" s="19"/>
      <c r="E35" s="19"/>
      <c r="F35" s="19"/>
    </row>
    <row r="36" spans="1:6" x14ac:dyDescent="0.25">
      <c r="A36" s="19"/>
      <c r="B36" s="58"/>
      <c r="C36" s="19"/>
      <c r="D36" s="19"/>
      <c r="E36" s="19"/>
      <c r="F36" s="19"/>
    </row>
    <row r="37" spans="1:6" x14ac:dyDescent="0.25">
      <c r="A37" s="19"/>
      <c r="B37" s="58"/>
      <c r="C37" s="19"/>
      <c r="D37" s="19"/>
      <c r="E37" s="19"/>
      <c r="F37" s="19"/>
    </row>
    <row r="38" spans="1:6" x14ac:dyDescent="0.25">
      <c r="A38" s="19"/>
      <c r="B38" s="58"/>
      <c r="C38" s="19"/>
      <c r="D38" s="19"/>
      <c r="E38" s="19"/>
      <c r="F38" s="19"/>
    </row>
    <row r="39" spans="1:6" x14ac:dyDescent="0.25">
      <c r="A39" s="19"/>
      <c r="B39" s="58"/>
      <c r="C39" s="19"/>
      <c r="D39" s="19"/>
      <c r="E39" s="19"/>
      <c r="F39" s="19"/>
    </row>
    <row r="40" spans="1:6" x14ac:dyDescent="0.25">
      <c r="A40" s="19"/>
      <c r="B40" s="58"/>
      <c r="C40" s="19"/>
      <c r="D40" s="19"/>
      <c r="E40" s="19"/>
      <c r="F40" s="19"/>
    </row>
    <row r="41" spans="1:6" x14ac:dyDescent="0.25">
      <c r="A41" s="19"/>
      <c r="B41" s="58"/>
      <c r="C41" s="19"/>
      <c r="D41" s="19"/>
      <c r="E41" s="19"/>
      <c r="F41" s="19"/>
    </row>
  </sheetData>
  <sortState ref="A10:G31">
    <sortCondition ref="C10"/>
  </sortState>
  <mergeCells count="1">
    <mergeCell ref="A8:F8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hisWorkbook.initTypesSousTypes">
                <anchor moveWithCells="1" sizeWithCells="1"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1</xdr:col>
                    <xdr:colOff>1019175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acherAfficherColGestBudget">
                <anchor moveWithCells="1" sizeWithCells="1">
                  <from>
                    <xdr:col>4</xdr:col>
                    <xdr:colOff>876300</xdr:colOff>
                    <xdr:row>0</xdr:row>
                    <xdr:rowOff>76200</xdr:rowOff>
                  </from>
                  <to>
                    <xdr:col>8</xdr:col>
                    <xdr:colOff>257175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refreshCouleursDates">
                <anchor moveWithCells="1" sizeWithCells="1">
                  <from>
                    <xdr:col>3</xdr:col>
                    <xdr:colOff>361950</xdr:colOff>
                    <xdr:row>0</xdr:row>
                    <xdr:rowOff>104775</xdr:rowOff>
                  </from>
                  <to>
                    <xdr:col>4</xdr:col>
                    <xdr:colOff>752475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1" tint="4.9989318521683403E-2"/>
  </sheetPr>
  <dimension ref="A5:M50"/>
  <sheetViews>
    <sheetView workbookViewId="0"/>
  </sheetViews>
  <sheetFormatPr baseColWidth="10" defaultRowHeight="15" x14ac:dyDescent="0.25"/>
  <cols>
    <col min="1" max="1" width="16.140625" customWidth="1"/>
  </cols>
  <sheetData>
    <row r="5" spans="1:6" x14ac:dyDescent="0.25">
      <c r="A5" s="7" t="s">
        <v>6</v>
      </c>
      <c r="B5" s="7" t="s">
        <v>22</v>
      </c>
      <c r="C5" s="60"/>
      <c r="D5" s="60"/>
      <c r="E5" s="60"/>
      <c r="F5" s="60"/>
    </row>
    <row r="6" spans="1:6" x14ac:dyDescent="0.25">
      <c r="A6" s="61" t="s">
        <v>102</v>
      </c>
      <c r="B6" s="40">
        <v>-1625.54</v>
      </c>
    </row>
    <row r="7" spans="1:6" x14ac:dyDescent="0.25">
      <c r="A7" s="62" t="s">
        <v>35</v>
      </c>
      <c r="B7" s="40">
        <v>329.40000000000003</v>
      </c>
    </row>
    <row r="8" spans="1:6" x14ac:dyDescent="0.25">
      <c r="A8" s="63" t="s">
        <v>103</v>
      </c>
      <c r="B8" s="40">
        <f>SUM(B6:B7)</f>
        <v>-1296.1399999999999</v>
      </c>
    </row>
    <row r="10" spans="1:6" x14ac:dyDescent="0.25">
      <c r="A10" s="7" t="s">
        <v>107</v>
      </c>
      <c r="B10" s="7" t="s">
        <v>22</v>
      </c>
    </row>
    <row r="11" spans="1:6" x14ac:dyDescent="0.25">
      <c r="A11" s="49" t="s">
        <v>92</v>
      </c>
      <c r="B11" s="20">
        <v>0</v>
      </c>
    </row>
    <row r="12" spans="1:6" x14ac:dyDescent="0.25">
      <c r="A12" s="37" t="s">
        <v>93</v>
      </c>
      <c r="B12" s="20">
        <v>0</v>
      </c>
    </row>
    <row r="13" spans="1:6" x14ac:dyDescent="0.25">
      <c r="A13" s="50" t="s">
        <v>94</v>
      </c>
      <c r="B13" s="20">
        <v>0</v>
      </c>
    </row>
    <row r="14" spans="1:6" x14ac:dyDescent="0.25">
      <c r="A14" s="51" t="s">
        <v>95</v>
      </c>
      <c r="B14" s="20">
        <v>0</v>
      </c>
    </row>
    <row r="15" spans="1:6" x14ac:dyDescent="0.25">
      <c r="A15" s="52" t="s">
        <v>96</v>
      </c>
      <c r="B15" s="20">
        <v>0</v>
      </c>
    </row>
    <row r="16" spans="1:6" x14ac:dyDescent="0.25">
      <c r="A16" s="53" t="s">
        <v>97</v>
      </c>
      <c r="B16" s="20">
        <v>0</v>
      </c>
    </row>
    <row r="17" spans="1:2" x14ac:dyDescent="0.25">
      <c r="A17" s="54" t="s">
        <v>98</v>
      </c>
      <c r="B17" s="20">
        <v>0</v>
      </c>
    </row>
    <row r="18" spans="1:2" x14ac:dyDescent="0.25">
      <c r="A18" s="17" t="s">
        <v>99</v>
      </c>
      <c r="B18" s="18">
        <v>-21</v>
      </c>
    </row>
    <row r="19" spans="1:2" x14ac:dyDescent="0.25">
      <c r="A19" s="55" t="s">
        <v>105</v>
      </c>
      <c r="B19" s="18">
        <v>-715</v>
      </c>
    </row>
    <row r="20" spans="1:2" x14ac:dyDescent="0.25">
      <c r="A20" s="46" t="s">
        <v>106</v>
      </c>
      <c r="B20" s="20">
        <v>178.06</v>
      </c>
    </row>
    <row r="21" spans="1:2" x14ac:dyDescent="0.25">
      <c r="A21" s="56" t="s">
        <v>100</v>
      </c>
      <c r="B21" s="18">
        <v>-738.19999999999993</v>
      </c>
    </row>
    <row r="22" spans="1:2" x14ac:dyDescent="0.25">
      <c r="A22" s="57" t="s">
        <v>101</v>
      </c>
      <c r="B22" s="20">
        <v>0</v>
      </c>
    </row>
    <row r="43" spans="1:13" x14ac:dyDescent="0.25">
      <c r="A43" s="7" t="s">
        <v>104</v>
      </c>
      <c r="B43" s="49" t="s">
        <v>92</v>
      </c>
      <c r="C43" s="37" t="s">
        <v>93</v>
      </c>
      <c r="D43" s="50" t="s">
        <v>94</v>
      </c>
      <c r="E43" s="51" t="s">
        <v>95</v>
      </c>
      <c r="F43" s="52" t="s">
        <v>96</v>
      </c>
      <c r="G43" s="53" t="s">
        <v>97</v>
      </c>
      <c r="H43" s="54" t="s">
        <v>98</v>
      </c>
      <c r="I43" s="17" t="s">
        <v>99</v>
      </c>
      <c r="J43" s="55" t="s">
        <v>105</v>
      </c>
      <c r="K43" s="46" t="s">
        <v>106</v>
      </c>
      <c r="L43" s="56" t="s">
        <v>100</v>
      </c>
      <c r="M43" s="57" t="s">
        <v>101</v>
      </c>
    </row>
    <row r="44" spans="1:13" x14ac:dyDescent="0.25">
      <c r="A44" s="16" t="s">
        <v>25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-700</v>
      </c>
      <c r="K44" s="15">
        <v>-54.7</v>
      </c>
      <c r="L44" s="15">
        <v>-680</v>
      </c>
      <c r="M44" s="15">
        <v>0</v>
      </c>
    </row>
    <row r="45" spans="1:13" x14ac:dyDescent="0.25">
      <c r="A45" s="17" t="s">
        <v>28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-17.240000000000002</v>
      </c>
      <c r="L45" s="15">
        <v>0</v>
      </c>
      <c r="M45" s="15">
        <v>0</v>
      </c>
    </row>
    <row r="46" spans="1:13" x14ac:dyDescent="0.25">
      <c r="A46" s="23" t="s">
        <v>40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270</v>
      </c>
      <c r="L46" s="15">
        <v>0</v>
      </c>
      <c r="M46" s="15">
        <v>0</v>
      </c>
    </row>
    <row r="47" spans="1:13" x14ac:dyDescent="0.25">
      <c r="A47" s="18" t="s">
        <v>48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-15</v>
      </c>
      <c r="K47" s="15">
        <v>-20</v>
      </c>
      <c r="L47" s="15">
        <v>0</v>
      </c>
      <c r="M47" s="15">
        <v>0</v>
      </c>
    </row>
    <row r="48" spans="1:13" x14ac:dyDescent="0.25">
      <c r="A48" s="33" t="s">
        <v>64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-21</v>
      </c>
      <c r="J48" s="15">
        <v>0</v>
      </c>
      <c r="K48" s="15">
        <v>0</v>
      </c>
      <c r="L48" s="15">
        <v>-26</v>
      </c>
      <c r="M48" s="15">
        <v>0</v>
      </c>
    </row>
    <row r="49" spans="1:13" x14ac:dyDescent="0.25">
      <c r="A49" s="37" t="s">
        <v>66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-3.9000000000000004</v>
      </c>
      <c r="M49" s="15">
        <v>0</v>
      </c>
    </row>
    <row r="50" spans="1:13" x14ac:dyDescent="0.25">
      <c r="A50" s="46" t="s">
        <v>84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-28.3</v>
      </c>
      <c r="M50" s="1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initTypesSousTypes">
                <anchor moveWithCells="1" sizeWithCells="1">
                  <from>
                    <xdr:col>10</xdr:col>
                    <xdr:colOff>504825</xdr:colOff>
                    <xdr:row>1</xdr:row>
                    <xdr:rowOff>9525</xdr:rowOff>
                  </from>
                  <to>
                    <xdr:col>13</xdr:col>
                    <xdr:colOff>666750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Aide</vt:lpstr>
      <vt:lpstr>Gestion Macro</vt:lpstr>
      <vt:lpstr>Gestion Budget</vt:lpstr>
      <vt:lpstr>Bilan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MatthieuSaubouaBeneluz@hotmail.fr</dc:creator>
  <cp:lastModifiedBy>MatthieuSaubouaBeneluz@hotmail.fr</cp:lastModifiedBy>
  <dcterms:created xsi:type="dcterms:W3CDTF">2015-09-15T13:36:06Z</dcterms:created>
  <dcterms:modified xsi:type="dcterms:W3CDTF">2015-11-21T17:38:44Z</dcterms:modified>
</cp:coreProperties>
</file>